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44325793f54310" /></Relationships>
</file>

<file path=xl/workbook.xml><?xml version="1.0" encoding="utf-8"?>
<x:workbook xmlns:x="http://schemas.openxmlformats.org/spreadsheetml/2006/main">
  <x:sheets>
    <x:sheet xmlns:r="http://schemas.openxmlformats.org/officeDocument/2006/relationships" name="Experiment Ledger" sheetId="1" r:id="Ra5891ca087e94151"/>
    <x:sheet xmlns:r="http://schemas.openxmlformats.org/officeDocument/2006/relationships" name="Current State" sheetId="2" r:id="R42e904751fa844c7"/>
    <x:sheet xmlns:r="http://schemas.openxmlformats.org/officeDocument/2006/relationships" name="Agent Overlap" sheetId="3" r:id="R161ee734fcc94c62"/>
    <x:sheet xmlns:r="http://schemas.openxmlformats.org/officeDocument/2006/relationships" name="Next Actions" sheetId="4" r:id="R380e7fe9bd3e4981"/>
    <x:sheet xmlns:r="http://schemas.openxmlformats.org/officeDocument/2006/relationships" name="Update Log" sheetId="5" r:id="Rbddbe6f9081a4282"/>
    <x:sheet xmlns:r="http://schemas.openxmlformats.org/officeDocument/2006/relationships" name="Canonical Portfolio" sheetId="6" r:id="R2e903787f8be4730"/>
    <x:sheet xmlns:r="http://schemas.openxmlformats.org/officeDocument/2006/relationships" name="Evidence Registry" sheetId="7" r:id="Re19a7a74545d4b58"/>
    <x:sheet xmlns:r="http://schemas.openxmlformats.org/officeDocument/2006/relationships" name="Evidence Rubric" sheetId="8" r:id="R56b419f9fb784328"/>
    <x:sheet xmlns:r="http://schemas.openxmlformats.org/officeDocument/2006/relationships" name="Split Registry" sheetId="9" r:id="Rf8335b1e9af447cc"/>
    <x:sheet xmlns:r="http://schemas.openxmlformats.org/officeDocument/2006/relationships" name="Reconciliation Audit" sheetId="10" r:id="Redab2f712e0443b7"/>
    <x:sheet xmlns:r="http://schemas.openxmlformats.org/officeDocument/2006/relationships" name="Contradiction Map" sheetId="11" r:id="R36191a1c4b214ee4"/>
    <x:sheet xmlns:r="http://schemas.openxmlformats.org/officeDocument/2006/relationships" name="Paper Claims Matrix" sheetId="12" r:id="Re1fda0e3059b488a"/>
    <x:sheet xmlns:r="http://schemas.openxmlformats.org/officeDocument/2006/relationships" name="Paper Evidence Index" sheetId="13" r:id="Rc72650e0905245df"/>
    <x:sheet xmlns:r="http://schemas.openxmlformats.org/officeDocument/2006/relationships" name="Agent Review Plan" sheetId="14" r:id="R67159c0d737f4eac"/>
    <x:sheet xmlns:r="http://schemas.openxmlformats.org/officeDocument/2006/relationships" name="Evidence Quarantine" sheetId="15" r:id="Rcdd8a988b64d42ef"/>
    <x:sheet xmlns:r="http://schemas.openxmlformats.org/officeDocument/2006/relationships" name="Project Closeout" sheetId="16" r:id="Rdb80107ddbc94ad6"/>
    <x:sheet xmlns:r="http://schemas.openxmlformats.org/officeDocument/2006/relationships" name="Oracle Proof v18" sheetId="17" r:id="R2c543006bb5a4ac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00000"/>
    <x:numFmt numFmtId="202" formatCode="0.0000"/>
  </x:numFmts>
  <x:fonts count="20">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sz val="9"/>
      <x:name val="Carlito"/>
    </x:font>
    <x:font>
      <x:b/>
      <x:sz val="9"/>
      <x:color rgb="FF1F4E78"/>
      <x:name val="Carlito"/>
    </x:font>
    <x:font>
      <x:b/>
      <x:sz val="16"/>
      <x:color rgb="FFFFFFFF"/>
      <x:name val="Carlito"/>
    </x:font>
    <x:font>
      <x:i/>
      <x:sz val="10"/>
      <x:color rgb="FF1F2937"/>
      <x:name val="Carlito"/>
    </x:font>
    <x:font>
      <x:b/>
      <x:sz val="11"/>
      <x:color rgb="FF274E13"/>
      <x:name val="Carlito"/>
    </x:font>
    <x:font>
      <x:b/>
      <x:sz val="11"/>
      <x:color rgb="FF783F04"/>
      <x:name val="Carlito"/>
    </x:font>
  </x:fonts>
  <x:fills count="31">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AD3"/>
      </x:patternFill>
    </x:fill>
    <x:fill>
      <x:patternFill patternType="solid">
        <x:fgColor rgb="FFF3F8F1"/>
      </x:patternFill>
    </x:fill>
    <x:fill>
      <x:patternFill patternType="solid">
        <x:fgColor rgb="FFF9FCF8"/>
      </x:patternFill>
    </x:fill>
    <x:fill>
      <x:patternFill patternType="solid">
        <x:fgColor rgb="FFFCE5CD"/>
      </x:patternFill>
    </x:fill>
    <x:fill>
      <x:patternFill patternType="solid">
        <x:fgColor rgb="FFB45F06"/>
      </x:patternFill>
    </x:fill>
  </x:fills>
  <x:borders count="46">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border/>
    <x:border/>
  </x:borders>
  <x:cellStyleXfs count="1">
    <x:xf numFmtId="0" fontId="0" fillId="0" borderId="0"/>
  </x:cellStyleXfs>
  <x:cellXfs count="4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14" fillId="0" borderId="0" xfId="0" applyNumberFormat="1" applyFont="1" applyFill="1" applyBorder="1"/>
    <x:xf numFmtId="0" fontId="14" fillId="0" xfId="0" applyNumberFormat="1" applyFont="1" applyFill="1" applyBorder="0"/>
    <x:xf numFmtId="0" fontId="14" fillId="0" borderId="43" xfId="0" applyNumberFormat="1" applyFont="1" applyFill="1" applyBorder="1"/>
    <x:xf numFmtId="0" fontId="14" fillId="0" xfId="0" applyNumberFormat="1" applyFont="1" applyFill="1" applyBorder="0" applyAlignment="1">
      <x:alignment wrapText="1"/>
    </x:xf>
    <x:xf numFmtId="0" fontId="14" fillId="0" borderId="43" xfId="0" applyNumberFormat="1" applyFont="1" applyFill="1" applyBorder="1" applyAlignment="1">
      <x:alignment wrapText="1"/>
    </x:xf>
    <x:xf numFmtId="0" fontId="14" fillId="0" xfId="0" applyNumberFormat="1" applyFont="1" applyFill="1" applyBorder="0" applyAlignment="1">
      <x:alignment vertical="top" wrapText="1"/>
    </x:xf>
    <x:xf numFmtId="0" fontId="14" fillId="0" borderId="43" xfId="0" applyNumberFormat="1" applyFont="1" applyFill="1" applyBorder="1" applyAlignment="1">
      <x:alignment vertical="top" wrapText="1"/>
    </x:xf>
    <x:xf numFmtId="0" fontId="15" fillId="0" xfId="0" applyNumberFormat="1" applyFont="1" applyFill="1" applyBorder="0" applyAlignment="1">
      <x:alignment vertical="top" wrapText="1"/>
    </x:xf>
    <x:xf numFmtId="0" fontId="15" fillId="0" borderId="43" xfId="0" applyNumberFormat="1" applyFont="1" applyFill="1" applyBorder="1" applyAlignment="1">
      <x:alignment vertical="top" wrapText="1"/>
    </x:xf>
    <x:xf numFmtId="201" fontId="14" fillId="0" xfId="0" applyNumberFormat="1" applyFont="1" applyFill="1" applyBorder="0" applyAlignment="1">
      <x:alignment vertical="top" wrapText="1"/>
    </x:xf>
    <x:xf numFmtId="201" fontId="14" fillId="0" borderId="43" xfId="0" applyNumberFormat="1" applyFont="1" applyFill="1" applyBorder="1" applyAlignment="1">
      <x:alignment vertical="top" wrapText="1"/>
    </x:xf>
    <x:xf numFmtId="202" fontId="14" fillId="0" xfId="0" applyNumberFormat="1" applyFont="1" applyFill="1" applyBorder="0" applyAlignment="1">
      <x:alignment vertical="top" wrapText="1"/>
    </x:xf>
    <x:xf numFmtId="202" fontId="14" fillId="0" borderId="43" xfId="0" applyNumberFormat="1" applyFont="1" applyFill="1" applyBorder="1" applyAlignment="1">
      <x:alignment vertical="top" wrapText="1"/>
    </x:xf>
    <x:xf numFmtId="0" fontId="0" fillId="23" borderId="0" xfId="0" applyNumberFormat="1" applyFont="1" applyFill="1" applyBorder="1"/>
    <x:xf numFmtId="0" fontId="16" fillId="23" borderId="0" xfId="0" applyNumberFormat="1" applyFont="1" applyFill="1" applyBorder="1"/>
    <x:xf numFmtId="0" fontId="16" fillId="23" borderId="0" xfId="0" applyNumberFormat="1" applyFont="1" applyFill="1" applyBorder="1" applyAlignment="1">
      <x:alignment horizontal="left"/>
    </x:xf>
    <x:xf numFmtId="0" fontId="16" fillId="23" borderId="0" xfId="0" applyNumberFormat="1" applyFont="1" applyFill="1" applyBorder="1" applyAlignment="1">
      <x:alignment horizontal="left" vertical="center"/>
    </x:xf>
    <x:xf numFmtId="0" fontId="0" fillId="24" borderId="0" xfId="0" applyNumberFormat="1" applyFont="1" applyFill="1" applyBorder="1"/>
    <x:xf numFmtId="0" fontId="17" fillId="24" borderId="0" xfId="0" applyNumberFormat="1" applyFont="1" applyFill="1" applyBorder="1"/>
    <x:xf numFmtId="0" fontId="17" fillId="24"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wrapText="1"/>
    </x:xf>
    <x:xf numFmtId="0" fontId="1" fillId="25" borderId="0" xfId="0" applyNumberFormat="1" applyFont="1" applyFill="1" applyBorder="1" applyAlignment="1">
      <x:alignment horizontal="center" wrapText="1"/>
    </x:xf>
    <x:xf numFmtId="0" fontId="1" fillId="25" borderId="0" xfId="0" applyNumberFormat="1" applyFont="1" applyFill="1" applyBorder="1" applyAlignment="1">
      <x:alignment horizontal="center" vertical="center" wrapText="1"/>
    </x:xf>
    <x:xf numFmtId="0" fontId="0" fillId="26" borderId="0" xfId="0" applyNumberFormat="1" applyFont="1" applyFill="1" applyBorder="1"/>
    <x:xf numFmtId="0" fontId="18" fillId="26" borderId="0" xfId="0" applyNumberFormat="1" applyFont="1" applyFill="1" applyBorder="1"/>
    <x:xf numFmtId="0" fontId="0" fillId="27" borderId="0" xfId="0" applyNumberFormat="1" applyFont="1" applyFill="1" applyBorder="1"/>
    <x:xf numFmtId="0" fontId="18" fillId="27" borderId="0" xfId="0" applyNumberFormat="1" applyFont="1" applyFill="1" applyBorder="1"/>
    <x:xf numFmtId="0" fontId="18" fillId="27" borderId="0" xfId="0" applyNumberFormat="1" applyFont="1" applyFill="1" applyBorder="1" applyAlignment="1">
      <x:alignment vertical="top"/>
    </x:xf>
    <x:xf numFmtId="0" fontId="0" fillId="28" borderId="0" xfId="0" applyNumberFormat="1" applyFont="1" applyFill="1" applyBorder="1"/>
    <x:xf numFmtId="0" fontId="0" fillId="28" borderId="0" xfId="0" applyNumberFormat="1" applyFont="1" applyFill="1" applyBorder="1" applyAlignment="1">
      <x:alignment wrapText="1"/>
    </x:xf>
    <x:xf numFmtId="0" fontId="0" fillId="28" borderId="0" xfId="0" applyNumberFormat="1" applyFont="1" applyFill="1" applyBorder="1" applyAlignment="1">
      <x:alignment vertical="top" wrapText="1"/>
    </x:xf>
    <x:xf numFmtId="0" fontId="0" fillId="29" borderId="0" xfId="0" applyNumberFormat="1" applyFont="1" applyFill="1" applyBorder="1"/>
    <x:xf numFmtId="0" fontId="19" fillId="29" borderId="0" xfId="0" applyNumberFormat="1" applyFont="1" applyFill="1" applyBorder="1"/>
    <x:xf numFmtId="0" fontId="0" fillId="30" borderId="0" xfId="0" applyNumberFormat="1" applyFont="1" applyFill="1" applyBorder="1"/>
    <x:xf numFmtId="0" fontId="1" fillId="30" borderId="0" xfId="0" applyNumberFormat="1" applyFont="1" applyFill="1" applyBorder="1"/>
    <x:xf numFmtId="0" fontId="14" fillId="0" borderId="44" xfId="0" applyNumberFormat="1" applyFont="1" applyFill="1" applyBorder="1"/>
    <x:xf numFmtId="0" fontId="14" fillId="0" borderId="44" xfId="0" applyNumberFormat="1" applyFont="1" applyFill="1" applyBorder="1" applyAlignment="1">
      <x:alignment wrapText="1"/>
    </x:xf>
    <x:xf numFmtId="0" fontId="14" fillId="0" borderId="44" xfId="0" applyNumberFormat="1" applyFont="1" applyFill="1" applyBorder="1" applyAlignment="1">
      <x:alignment vertical="top" wrapText="1"/>
    </x:xf>
    <x:xf numFmtId="0" fontId="16" fillId="23" borderId="0" xfId="0" applyNumberFormat="1" applyFont="1" applyFill="1" applyBorder="1" applyAlignment="1">
      <x:alignment horizontal="left" vertical="center" wrapText="1"/>
    </x:xf>
    <x:xf numFmtId="0" fontId="18" fillId="26" borderId="0" xfId="0" applyNumberFormat="1" applyFont="1" applyFill="1" applyBorder="1" applyAlignment="1">
      <x:alignment wrapText="1"/>
    </x:xf>
    <x:xf numFmtId="0" fontId="18" fillId="27" borderId="0" xfId="0" applyNumberFormat="1" applyFont="1" applyFill="1" applyBorder="1" applyAlignment="1">
      <x:alignment vertical="top" wrapText="1"/>
    </x:xf>
    <x:xf numFmtId="0" fontId="19" fillId="29" borderId="0" xfId="0" applyNumberFormat="1" applyFont="1" applyFill="1" applyBorder="1" applyAlignment="1">
      <x:alignment wrapText="1"/>
    </x:xf>
    <x:xf numFmtId="0" fontId="1" fillId="30" borderId="0" xfId="0" applyNumberFormat="1" applyFont="1" applyFill="1" applyBorder="1" applyAlignment="1">
      <x:alignment wrapText="1"/>
    </x:xf>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xf numFmtId="0" fontId="15"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vertical="top" wrapText="1"/>
    </x:xf>
    <x:xf numFmtId="0" fontId="16" fillId="10" borderId="0" xfId="0" applyNumberFormat="1" applyFont="1" applyFill="1" applyBorder="1"/>
    <x:xf numFmtId="0" fontId="16" fillId="10" borderId="0" xfId="0" applyNumberFormat="1" applyFont="1" applyFill="1" applyBorder="1" applyAlignment="1">
      <x:alignment horizontal="left"/>
    </x:xf>
    <x:xf numFmtId="0" fontId="16" fillId="10" borderId="0" xfId="0" applyNumberFormat="1" applyFont="1" applyFill="1" applyBorder="1" applyAlignment="1">
      <x:alignment horizontal="left" vertical="center"/>
    </x:xf>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wrapText="1"/>
    </x:xf>
    <x:xf numFmtId="0" fontId="16" fillId="10" borderId="0" xfId="0" applyNumberFormat="1" applyFont="1" applyFill="1" applyBorder="1" applyAlignment="1">
      <x:alignment horizontal="left" vertical="center" wrapText="1"/>
    </x:xf>
    <x:xf numFmtId="0" fontId="14" fillId="0" borderId="45" xfId="0" applyNumberFormat="1" applyFont="1" applyFill="1" applyBorder="1"/>
    <x:xf numFmtId="0" fontId="14" fillId="0" borderId="45" xfId="0" applyNumberFormat="1" applyFont="1" applyFill="1" applyBorder="1" applyAlignment="1">
      <x:alignment wrapText="1"/>
    </x:xf>
    <x:xf numFmtId="0" fontId="14" fillId="0" borderId="45" xfId="0" applyNumberFormat="1" applyFont="1" applyFill="1" applyBorder="1" applyAlignment="1">
      <x:alignment vertical="top" wrapText="1"/>
    </x:xf>
    <x:xf numFmtId="0" fontId="15" fillId="0" borderId="45" xfId="0" applyNumberFormat="1" applyFont="1" applyFill="1" applyBorder="1" applyAlignment="1">
      <x:alignment vertical="top" wrapText="1"/>
    </x:xf>
    <x:xf numFmtId="201" fontId="14" fillId="0" borderId="45" xfId="0" applyNumberFormat="1" applyFont="1" applyFill="1" applyBorder="1" applyAlignment="1">
      <x:alignment vertical="top" wrapText="1"/>
    </x:xf>
    <x:xf numFmtId="202" fontId="14" fillId="0" borderId="45"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f37653b77648cd" /><Relationship Type="http://schemas.openxmlformats.org/officeDocument/2006/relationships/theme" Target="/xl/theme/theme1.xml" Id="Ra2ef019733f84ba7" /><Relationship Type="http://schemas.openxmlformats.org/officeDocument/2006/relationships/sharedStrings" Target="/xl/sharedStrings.xml" Id="R4a0da6a9d0ff4bfd" /><Relationship Type="http://schemas.openxmlformats.org/officeDocument/2006/relationships/worksheet" Target="/xl/worksheets/sheet1.xml" Id="Ra5891ca087e94151" /><Relationship Type="http://schemas.openxmlformats.org/officeDocument/2006/relationships/worksheet" Target="/xl/worksheets/sheet2.xml" Id="R42e904751fa844c7" /><Relationship Type="http://schemas.openxmlformats.org/officeDocument/2006/relationships/worksheet" Target="/xl/worksheets/sheet3.xml" Id="R161ee734fcc94c62" /><Relationship Type="http://schemas.openxmlformats.org/officeDocument/2006/relationships/worksheet" Target="/xl/worksheets/sheet4.xml" Id="R380e7fe9bd3e4981" /><Relationship Type="http://schemas.openxmlformats.org/officeDocument/2006/relationships/worksheet" Target="/xl/worksheets/sheet5.xml" Id="Rbddbe6f9081a4282" /><Relationship Type="http://schemas.openxmlformats.org/officeDocument/2006/relationships/worksheet" Target="/xl/worksheets/sheet6.xml" Id="R2e903787f8be4730" /><Relationship Type="http://schemas.openxmlformats.org/officeDocument/2006/relationships/worksheet" Target="/xl/worksheets/sheet7.xml" Id="Re19a7a74545d4b58" /><Relationship Type="http://schemas.openxmlformats.org/officeDocument/2006/relationships/worksheet" Target="/xl/worksheets/sheet8.xml" Id="R56b419f9fb784328" /><Relationship Type="http://schemas.openxmlformats.org/officeDocument/2006/relationships/worksheet" Target="/xl/worksheets/sheet9.xml" Id="Rf8335b1e9af447cc" /><Relationship Type="http://schemas.openxmlformats.org/officeDocument/2006/relationships/worksheet" Target="/xl/worksheets/sheet10.xml" Id="Redab2f712e0443b7" /><Relationship Type="http://schemas.openxmlformats.org/officeDocument/2006/relationships/worksheet" Target="/xl/worksheets/sheet11.xml" Id="R36191a1c4b214ee4" /><Relationship Type="http://schemas.openxmlformats.org/officeDocument/2006/relationships/worksheet" Target="/xl/worksheets/sheet12.xml" Id="Re1fda0e3059b488a" /><Relationship Type="http://schemas.openxmlformats.org/officeDocument/2006/relationships/worksheet" Target="/xl/worksheets/sheet13.xml" Id="Rc72650e0905245df" /><Relationship Type="http://schemas.openxmlformats.org/officeDocument/2006/relationships/worksheet" Target="/xl/worksheets/sheet14.xml" Id="R67159c0d737f4eac" /><Relationship Type="http://schemas.openxmlformats.org/officeDocument/2006/relationships/worksheet" Target="/xl/worksheets/sheet15.xml" Id="Rcdd8a988b64d42ef" /><Relationship Type="http://schemas.openxmlformats.org/officeDocument/2006/relationships/worksheet" Target="/xl/worksheets/sheet16.xml" Id="Rdb80107ddbc94ad6" /><Relationship Type="http://schemas.openxmlformats.org/officeDocument/2006/relationships/worksheet" Target="/xl/worksheets/sheet17.xml" Id="R2c543006bb5a4aca"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2219cee050426c" /></Relationships>
</file>

<file path=xl/worksheets/_rels/sheet7.xml.rels>&#65279;<?xml version="1.0" encoding="utf-8"?><Relationships xmlns="http://schemas.openxmlformats.org/package/2006/relationships"><Relationship Type="http://schemas.openxmlformats.org/officeDocument/2006/relationships/table" Target="/xl/tables/table2.xml" Id="Rd643d61e49d54e1b" /></Relationships>
</file>

<file path=xl/worksheets/_rels/sheet9.xml.rels>&#65279;<?xml version="1.0" encoding="utf-8"?><Relationships xmlns="http://schemas.openxmlformats.org/package/2006/relationships"><Relationship Type="http://schemas.openxmlformats.org/officeDocument/2006/relationships/table" Target="/xl/tables/table3.xml" Id="R1dbb23e7b79b4e32"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Exact proof plus exhaustive Kerdock row-profile audit</x:v>
      </x:c>
      <x:c r="C381" t="str">
        <x:v>Finite-width fixed-linear symmetry</x:v>
      </x:c>
      <x:c r="D381" t="str">
        <x:v>All-width complete-support mass-one weight optimum</x:v>
      </x:c>
      <x:c r="E38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t="str">
        <x:v>Exact scoped theorem; fixed reweighting of complete support is operationally exhausted. Excludes data-dependent weights, nonlinear aggregation, changed support, and compute-adjusted partial rules.</x:v>
      </x:c>
      <x:c r="G381" t="str">
        <x:v>Agent3 Cascade FINAL_REPORT.md; MATH_DESIGN_AUDIT.json</x:v>
      </x:c>
      <x:c r="H381" t="str">
        <x:v>Proved under explicit model</x:v>
      </x:c>
      <x:c r="I381" t="str">
        <x:v>Proof / analytic</x:v>
      </x:c>
      <x:c r="J381" t="str">
        <x:v>Static quadrature theory</x:v>
      </x:c>
      <x:c r="K381" t="str">
        <x:v>2026-07-30 closure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t="str">
        <x:v>Complete implementation-diverse numerical reproduction of T22/T23. The mathematical derivation and rational witness are shared; no proof-assistant or cross-operating-system claim.</x:v>
      </x:c>
      <x:c r="G383" t="str">
        <x:v>Agent2 T22/T23 dual-engine package; T22_RELEASE_CLOSURE.md</x:v>
      </x:c>
      <x:c r="H383" t="str">
        <x:v>Verified / dual-engine release-hardened</x:v>
      </x:c>
      <x:c r="I383" t="str">
        <x:v>Computer-assisted proof audit</x:v>
      </x:c>
      <x:c r="J383" t="str">
        <x:v>Theory &amp; proof</x:v>
      </x:c>
      <x:c r="K383" t="str">
        <x:v>2026-07-30 project closeout</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58" customHeight="1">
      <x:c r="A402" s="382" t="str">
        <x:v>T42</x:v>
      </x:c>
      <x:c r="B402" s="380" t="str">
        <x:v>Computer-assisted coefficient certificate plus exact rational projection</x:v>
      </x:c>
      <x:c r="C402" s="380" t="str">
        <x:v>Kernel / certificate theory</x:v>
      </x:c>
      <x:c r="D402" s="380" t="str">
        <x:v>Positive-definite optimized auxiliary residual</x:v>
      </x:c>
      <x:c r="E402" s="380" t="str">
        <x:v>For the dimension-256 depth-32 limiting ReLU kernel, the order-47 directed interval jet certifies K32-h* has nonnegative Gegenbauer coefficients in every degree and strict positive margins in degrees 0–5.</x:v>
      </x:c>
      <x:c r="F402" s="380" t="str">
        <x:v>Promote as a computer-assisted theorem candidate after an independent interval stack and named human review. It does not transfer the positive-weight lower bound unchanged to signed rules.</x:v>
      </x:c>
      <x:c r="G402" s="380" t="str">
        <x:v>T42_POSITIVE_DEFINITE_AUXILIARY_RESIDUAL.md; verify_oracle_proof_completion.py</x:v>
      </x:c>
      <x:c r="H402" s="380" t="str">
        <x:v>Computer-assisted theorem candidate</x:v>
      </x:c>
      <x:c r="I402" s="380" t="str">
        <x:v>Proof / analytic</x:v>
      </x:c>
      <x:c r="J402" s="380" t="str">
        <x:v>Theory &amp; proof</x:v>
      </x:c>
      <x:c r="K402" s="380" t="str">
        <x:v>2026-07-30 Oracle proof completion v18</x:v>
      </x:c>
    </x:row>
    <x:row r="403" ht="58" customHeight="1">
      <x:c r="A403" s="382" t="str">
        <x:v>T43</x:v>
      </x:c>
      <x:c r="B403" s="380" t="str">
        <x:v>Exact rank/trace theorem plus directed coefficient specialization</x:v>
      </x:c>
      <x:c r="C403" s="380" t="str">
        <x:v>Static signed cubature theory</x:v>
      </x:c>
      <x:c r="D403" s="380" t="str">
        <x:v>Global arbitrary-signed-node rank floor</x:v>
      </x:c>
      <x:c r="E403" s="380" t="str">
        <x:v>Every static network-independent arbitrary-real-weight mass-one rule with at most 66,048 nodes has limiting-kernel MSE at least 1.7017556669835916e-8, at least 0.0699257668273 of complete-Kerdock MSE. All active degrees 1–6 are checked; degree 6 binds.</x:v>
      </x:c>
      <x:c r="F403" s="380" t="str">
        <x:v>A genuine global floor permitting at most 14.30088x improvement, not signed near-optimality. Numerical specialization needs independent interval-stack reproduction.</x:v>
      </x:c>
      <x:c r="G403" s="380" t="str">
        <x:v>T43_ARBITRARY_SIGNED_NODE_RANK_FLOOR.md; signed_floor_order47.json</x:v>
      </x:c>
      <x:c r="H403" s="380" t="str">
        <x:v>Abstract theorem proved / numerical candidate</x:v>
      </x:c>
      <x:c r="I403" s="380" t="str">
        <x:v>Proof / analytic</x:v>
      </x:c>
      <x:c r="J403" s="380" t="str">
        <x:v>Static signed cubature</x:v>
      </x:c>
      <x:c r="K403" s="380" t="str">
        <x:v>2026-07-30 Oracle proof completion v18</x:v>
      </x:c>
    </x:row>
    <x:row r="404" ht="58" customHeight="1">
      <x:c r="A404" s="382" t="str">
        <x:v>T44</x:v>
      </x:c>
      <x:c r="B404" s="380" t="str">
        <x:v>Exact information-theoretic argument</x:v>
      </x:c>
      <x:c r="C404" s="380" t="str">
        <x:v>Runtime information / observability</x:v>
      </x:c>
      <x:c r="D404" s="380" t="str">
        <x:v>Quantitative phase-information bounds</x:v>
      </x:c>
      <x:c r="E404" s="380" t="str">
        <x:v>For a balanced binary phase, normalized correction value is at most 2 I(S;X) in nats; sequential information adds by the chain rule, and Fano bounds finite-action Oracle capture.</x:v>
      </x:c>
      <x:c r="F404" s="380" t="str">
        <x:v>Proved abstractly. Failed predictors do not upper-bound mutual information; no WHestBench numerical ceiling follows without a valid transcript KL/information bound.</x:v>
      </x:c>
      <x:c r="G404" s="380" t="str">
        <x:v>T44_PHASE_INFORMATION_BOUNDS.md</x:v>
      </x:c>
      <x:c r="H404" s="380" t="str">
        <x:v>Proved / application input missing</x:v>
      </x:c>
      <x:c r="I404" s="380" t="str">
        <x:v>Proof / analytic</x:v>
      </x:c>
      <x:c r="J404" s="380" t="str">
        <x:v>Proof and observability</x:v>
      </x:c>
      <x:c r="K404" s="380" t="str">
        <x:v>2026-07-30 Oracle proof completion v18</x:v>
      </x:c>
    </x:row>
    <x:row r="405" ht="58" customHeight="1">
      <x:c r="A405" s="382" t="str">
        <x:v>T45</x:v>
      </x:c>
      <x:c r="B405" s="380" t="str">
        <x:v>Exact Hilbert-space symmetry identity</x:v>
      </x:c>
      <x:c r="C405" s="380" t="str">
        <x:v>Runtime information / observability</x:v>
      </x:c>
      <x:c r="D405" s="380" t="str">
        <x:v>Symmetry-defect alignment and value bound</x:v>
      </x:c>
      <x:c r="E405" s="380" t="str">
        <x:v>For a measure-preserving involution, normalized correction alignment is at most (delta_e+delta_c)/2 and fixed-direction fractional gain is bounded by its square. Exact anti-invariant error plus invariant correction gives zero alignment.</x:v>
      </x:c>
      <x:c r="F405" s="380" t="str">
        <x:v>Proved abstractly. Any WHestBench application must specify and verify the actual transformation, measure preservation, output action and defects.</x:v>
      </x:c>
      <x:c r="G405" s="380" t="str">
        <x:v>T45_SYMMETRY_DEFECT_ALIGNMENT_BOUND.md</x:v>
      </x:c>
      <x:c r="H405" s="380" t="str">
        <x:v>Proved / application conditional</x:v>
      </x:c>
      <x:c r="I405" s="380" t="str">
        <x:v>Proof / analytic</x:v>
      </x:c>
      <x:c r="J405" s="380" t="str">
        <x:v>Proof and observability</x:v>
      </x:c>
      <x:c r="K405" s="380" t="str">
        <x:v>2026-07-30 Oracle proof completion v18</x:v>
      </x:c>
    </x:row>
    <x:row r="406" ht="58" customHeight="1">
      <x:c r="A406" s="382" t="str">
        <x:v>T46</x:v>
      </x:c>
      <x:c r="B406" s="380" t="str">
        <x:v>Exact group-representation and two-point minimax proof</x:v>
      </x:c>
      <x:c r="C406" s="380" t="str">
        <x:v>Runtime information / coefficient representations</x:v>
      </x:c>
      <x:c r="D406" s="380" t="str">
        <x:v>Gauge-invariant coefficient obstruction</x:v>
      </x:c>
      <x:c r="E406" s="380" t="str">
        <x:v>An orientation-blind invariant representation cannot output nonzero well-defined signed coefficients under independent dictionary sign gauges. Quotient-identical opposite targets have minimax squared loss at least the target square.</x:v>
      </x:c>
      <x:c r="F406" s="380" t="str">
        <x:v>Exactly closes orientation-blind coefficient architectures. M153's nine norm/cosine/angle features contain no explicit global orientation anchor; this does not close the physical estimator class.</x:v>
      </x:c>
      <x:c r="G406" s="380" t="str">
        <x:v>T46_GAUGE_INVARIANT_COEFFICIENT_OBSTRUCTION.md; M153_OBSERVATION_MAP_AUDIT.md</x:v>
      </x:c>
      <x:c r="H406" s="380" t="str">
        <x:v>Proved for representation class</x:v>
      </x:c>
      <x:c r="I406" s="380" t="str">
        <x:v>Proof / analytic</x:v>
      </x:c>
      <x:c r="J406" s="380" t="str">
        <x:v>Proof and observability</x:v>
      </x:c>
      <x:c r="K406" s="380" t="str">
        <x:v>2026-07-30 Oracle proof completion v18</x:v>
      </x:c>
    </x:row>
    <x:row r="407" ht="58" customHeight="1">
      <x:c r="A407" s="382" t="str">
        <x:v>M160</x:v>
      </x:c>
      <x:c r="B407" s="380" t="str">
        <x:v>Authenticated row-level Oracle arrays and independent summary reproduction</x:v>
      </x:c>
      <x:c r="C407" s="380" t="str">
        <x:v>Cross-layer Oracle mechanism</x:v>
      </x:c>
      <x:c r="D407" s="380" t="str">
        <x:v>Pooled checkpoint-increment heterogeneity audit</x:v>
      </x:c>
      <x:c r="E407" s="380" t="str">
        <x:v>Development/validation/confirmation pooled max absolute increment cosines are 0.302/0.146/0.187; effective ranks 3.824/3.803/4.287; final-two energy shares 7.25%/8.23%/9.84%.</x:v>
      </x:c>
      <x:c r="F407" s="380" t="str">
        <x:v>Rejects a single common pooled direction. Does not prove within-network rank or causal component independence because cross-case sign cancellation can create low pooled cosine.</x:v>
      </x:c>
      <x:c r="G407" s="380" t="str">
        <x:v>CROSS_LAYER_COHERENCE_CORRECTED_INTERPRETATION.md; COHERENCE_RESULTS.json</x:v>
      </x:c>
      <x:c r="H407" s="380" t="str">
        <x:v>Replicated mechanism diagnostic</x:v>
      </x:c>
      <x:c r="I407" s="380" t="str">
        <x:v>Authenticated synthetic arrays</x:v>
      </x:c>
      <x:c r="J407" s="380" t="str">
        <x:v>Cascade / Oracle attribution</x:v>
      </x:c>
      <x:c r="K407" s="380" t="str">
        <x:v>2026-07-30 Oracle proof completion v18</x:v>
      </x:c>
    </x:row>
    <x:row r="408" ht="58" customHeight="1">
      <x:c r="A408" s="382" t="str">
        <x:v>M161</x:v>
      </x:c>
      <x:c r="B408" s="380" t="str">
        <x:v>Grouped development selection plus frozen confirmation diagnostic</x:v>
      </x:c>
      <x:c r="C408" s="380" t="str">
        <x:v>Layer-30 source synthesis</x:v>
      </x:c>
      <x:c r="D408" s="380" t="str">
        <x:v>Five-source downstream coefficient synthesis</x:v>
      </x:c>
      <x:c r="E408" s="380" t="str">
        <x:v>Selected development group-CV rule scored 1.132 candidate/base with worst 2.212. Confirmation feature rule was 0.872 but worst 3.055 and worse than fixed global linear 0.778.</x:v>
      </x:c>
      <x:c r="F408" s="380" t="str">
        <x:v>Close the exact source/feature/ridge class. Later positive ratios are diagnostic because the selected rule failed its development gate; retain the Oracle span.</x:v>
      </x:c>
      <x:c r="G408" s="380" t="str">
        <x:v>ORACLE_CONTINUATION_HOSTILE_AUDIT.md; OracleContinuation FINAL_REPORT.md</x:v>
      </x:c>
      <x:c r="H408" s="380" t="str">
        <x:v>Closed tested class / span retained</x:v>
      </x:c>
      <x:c r="I408" s="380" t="str">
        <x:v>Synthetic grouped chronology</x:v>
      </x:c>
      <x:c r="J408" s="380" t="str">
        <x:v>Layer31 phase learning</x:v>
      </x:c>
      <x:c r="K408" s="380" t="str">
        <x:v>2026-07-30 Oracle proof completion v18</x:v>
      </x:c>
    </x:row>
    <x:row r="409" ht="58" customHeight="1">
      <x:c r="A409" s="383" t="str">
        <x:v>M162</x:v>
      </x:c>
      <x:c r="B409" s="381" t="str">
        <x:v>Frozen chronological untouched-test source ceiling</x:v>
      </x:c>
      <x:c r="C409" s="381" t="str">
        <x:v>Edge-state phase model</x:v>
      </x:c>
      <x:c r="D409" s="381" t="str">
        <x:v>Projected-ReLU scalar-source Oracle ceiling</x:v>
      </x:c>
      <x:c r="E409" s="381" t="str">
        <x:v>The exact scalar Oracle on the frozen test subset gives 1.144709x raw gain, below the package's 1.15x continuation gate. Cheap invariant weight-summary models also fail.</x:v>
      </x:c>
      <x:c r="F409" s="381" t="str">
        <x:v>Do not train the full Edge-DWS on this label. This is a source-ceiling stop, not a closure of the edge-state model class.</x:v>
      </x:c>
      <x:c r="G409" s="381" t="str">
        <x:v>ORACLE_CONTINUATION_HOSTILE_AUDIT.md; OracleContinuation FINAL_REPORT.md</x:v>
      </x:c>
      <x:c r="H409" s="381" t="str">
        <x:v>Source closed under frozen gate / model open</x:v>
      </x:c>
      <x:c r="I409" s="381" t="str">
        <x:v>Exposed synthetic chronological test</x:v>
      </x:c>
      <x:c r="J409" s="381" t="str">
        <x:v>Layer31 phase learning</x:v>
      </x:c>
      <x:c r="K409" s="381" t="str">
        <x:v>2026-07-30 Oracle proof completion v18</x:v>
      </x:c>
    </x:row>
    <x:row r="410" ht="64" customHeight="1">
      <x:c r="A410" s="435" t="str">
        <x:v>T47</x:v>
      </x:c>
      <x:c r="B410" s="434" t="str">
        <x:v>Exact weighted rank/trace theorem plus frozen degree-15 rational coefficient certificate</x:v>
      </x:c>
      <x:c r="C410" s="434" t="str">
        <x:v>Static signed cubature theory</x:v>
      </x:c>
      <x:c r="D410" s="434" t="str">
        <x:v>Weighted harmonic arbitrary-signed-node rank floor</x:v>
      </x:c>
      <x:c r="E410" s="434" t="str">
        <x:v>For the dimension-256 depth-32 limiting kernel, every static network-independent arbitrary-real-weight mass-one rule with at most 66,048 nodes has MSE at least 1.2294295437956858e-7, or 0.505177125470747 of complete-Kerdock MSE. Every active degree 1–30 is checked; degree 7 binds.</x:v>
      </x:c>
      <x:c r="F410" s="434" t="str">
        <x:v>Strongest signed static result: improvement is at most 1.979503722x. This supersedes T43 numerically, crosses the frozen 2x stopping threshold, but is not signed near-optimality and requires independent interval-stack reproduction.</x:v>
      </x:c>
      <x:c r="G410" s="434" t="str">
        <x:v>T47_WEIGHTED_HARMONIC_RANK_FLOOR.md; weighted_rank_floor_degree15_frozen.json</x:v>
      </x:c>
      <x:c r="H410" s="434" t="str">
        <x:v>Abstract theorem proved / numerical candidate</x:v>
      </x:c>
      <x:c r="I410" s="434" t="str">
        <x:v>Proof / analytic</x:v>
      </x:c>
      <x:c r="J410" s="434" t="str">
        <x:v>Static signed cubature</x:v>
      </x:c>
      <x:c r="K410" s="434" t="str">
        <x:v>2026-07-30 Oracle proof completion v18</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de2219cee050426c"/>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v17 project closeout 2026-07-30 11:23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Absolute-center observability barrier</x:v>
      </x:c>
      <x:c r="B42" s="81" t="str">
        <x:v>The large layer31 repair channel remains, but tested legal observables do not reveal safe signed absolute phase. Existing blends, thresholds, selectors, global models and coefficient learners are neutral or tail-unsafe. The next theoretical task is to formalize the MSE contraction condition and identify which assumptions create the observability barrier.</x:v>
      </x:c>
      <x:c r="C42" s="81" t="str">
        <x:v>M132–M139 plus cross-layer attribution evidence</x:v>
      </x:c>
      <x:c r="D42" s="82" t="str">
        <x:v>Do not call depth-flat relative error a theorem without assumptions. Prove a correction-risk identity first; reopen experiments only with genuinely independent center information.</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46" customHeight="1">
      <x:c r="A51" s="83" t="str">
        <x:v>Information boundary</x:v>
      </x:c>
      <x:c r="B51" s="84" t="str">
        <x:v>T33 identifies attainable adaptive gain as the squared Hilbert projection onto runtime-observable corrections. T28 gives exact correction/replacement and common-bias model results. T32 invalidates the attempted universal Gaussian Bayes/no-adaptation theorem for post-ReLU outputs.</x:v>
      </x:c>
      <x:c r="C51" s="84" t="str">
        <x:v>T28,T32,T33</x:v>
      </x:c>
      <x:c r="D51" s="85" t="str">
        <x:v>Use a two-boundary story: certified geometry plus class-specific information value. Do not call all observability failures one universal theorem.</x:v>
      </x:c>
    </x:row>
    <x:row r="52">
      <x:c r="A52" s="10" t="str">
        <x:v>Layer31 evidence status</x:v>
      </x:c>
      <x:c r="B52" s="10" t="str">
        <x:v>The repair channel remains large as an oracle mechanism, and M155 confirms downstream-weighted directions can carry real signal. But M146's 1.012/41.2x/~5e-4 headlines are not source-reproducible and the threshold is direction-dependent. M153 and M158 show tested observables fail stable signed phase.</x:v>
      </x:c>
      <x:c r="C52" s="10" t="str">
        <x:v>M146,M153,M155,M158</x:v>
      </x:c>
      <x:c r="D52" s="10" t="str">
        <x:v>Keep current anchor families closed. Reopen only for genuinely new absolute-phase information that passes eta_J, exact nonlinear replay, tails and cost.</x:v>
      </x:c>
    </x:row>
    <x:row r="53">
      <x:c r="A53" s="10" t="str">
        <x:v>Learning evidence</x:v>
      </x:c>
      <x:c r="B53" s="10" t="str">
        <x:v>M152 is removed from evidence. M76 and M145 retain only qualitative historical conclusions because decisive rows/scripts are incomplete. The reproducible T4 grouped dictionary in M153 has negative OOF predictability.</x:v>
      </x:c>
      <x:c r="C53" s="10" t="str">
        <x:v>M76,M145,M152,M153</x:v>
      </x:c>
      <x:c r="D53" s="10" t="str">
        <x:v>Close tested representations, not universal learnability. Do not rebuild M152 ad hoc and call it a reproduction.</x:v>
      </x:c>
    </x:row>
    <x:row r="54">
      <x:c r="A54" s="10" t="str">
        <x:v>Harmonic and control boundary</x:v>
      </x:c>
      <x:c r="B54" s="10"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10" t="str">
        <x:v>T36,M156,M157; T25/M79/V67</x:v>
      </x:c>
      <x:c r="D54" s="10" t="str">
        <x:v>The taxonomy is now sharper: exact no-op classes, failed high-degree classes, and richer biased/deep/nonhomogeneous controls still logically open.</x:v>
      </x:c>
    </x:row>
    <x:row r="55">
      <x:c r="A55" s="10" t="str">
        <x:v>Signed-rule boundary</x:v>
      </x:c>
      <x:c r="B55" s="10" t="str">
        <x:v>T27 closes signed/unequal weights only in the fixed Kerdock-line universe. T28's exact negative-mass constant is rigorous but practically weak for arbitrary off-support signed nodes. M158 gives a strong oracle but catastrophic frozen global rule.</x:v>
      </x:c>
      <x:c r="C55" s="10" t="str">
        <x:v>T27,T28,M158</x:v>
      </x:c>
      <x:c r="D55" s="10" t="str">
        <x:v>Do not claim global signed closure. Require a stable analytic per-network phase mechanism before further signed-probe work.</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x:c r="A64" s="41" t="str">
        <x:v>Additional theory</x:v>
      </x:c>
      <x:c r="B64" s="41" t="str">
        <x:v>Finite-width fixed-line optimality, group-invariant observability and residual spectral recertification are proved in their stated scopes.</x:v>
      </x:c>
      <x:c r="C64" s="41" t="str">
        <x:v>T38–T40</x:v>
      </x:c>
      <x:c r="D64" s="41" t="str">
        <x:v>Include in manuscripts; do not broaden to arbitrary-node finite-width or universal adaptive impossibility.</x:v>
      </x:c>
    </x:row>
    <x:row r="65">
      <x:c r="A65" s="41" t="str">
        <x:v>Project disposition</x:v>
      </x:c>
      <x:c r="B65" s="41" t="str">
        <x:v>The theorem manuscript, falsification article, evidence register, review packet and reproducibility bundle are assembled. No new research tree should open.</x:v>
      </x:c>
      <x:c r="C65" s="41" t="str">
        <x:v>v17 closeout artifacts</x:v>
      </x:c>
      <x:c r="D65" s="41" t="str">
        <x:v>Project is internally closed; only official external grade and human/external release authentication remain.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73" t="str">
        <x:v>Priority</x:v>
      </x:c>
      <x:c r="B1" s="373" t="str">
        <x:v>Closeout task</x:v>
      </x:c>
      <x:c r="C1" s="373" t="str">
        <x:v>Completion / gate</x:v>
      </x:c>
      <x:c r="D1" s="373" t="str">
        <x:v>Status</x:v>
      </x:c>
    </x:row>
    <x:row r="2" ht="21.600000381469727" hidden="0" customHeight="1">
      <x:c r="A2" s="330" t="n">
        <x:v>1</x:v>
      </x:c>
      <x:c r="B2" s="330" t="str">
        <x:v>Frozen production/A42/A43 comparison</x:v>
      </x:c>
      <x:c r="C2" s="330" t="str">
        <x:v>Seven local subprocess arms completed; official grader and dataset unavailable.</x:v>
      </x:c>
      <x:c r="D2" s="330" t="str">
        <x:v>LOCAL COMPLETE / OFFICIAL EXTERNAL GATE</x:v>
      </x:c>
    </x:row>
    <x:row r="3" ht="21.600000381469727" hidden="0" customHeight="1">
      <x:c r="A3" s="330" t="n">
        <x:v>2</x:v>
      </x:c>
      <x:c r="B3" s="164" t="str">
        <x:v>Final v17 canonical ledger</x:v>
      </x:c>
      <x:c r="C3" s="164" t="str">
        <x:v>Post-v16 proof, competition, local-run and project-closeout evidence reconciled.</x:v>
      </x:c>
      <x:c r="D3" s="330" t="str">
        <x:v>COMPLETE</x:v>
      </x:c>
    </x:row>
    <x:row r="4" ht="21.600000381469727" hidden="0" customHeight="1">
      <x:c r="A4" s="330" t="n">
        <x:v>3</x:v>
      </x:c>
      <x:c r="B4" s="164" t="str">
        <x:v>Freeze dual-engine T22/T23 release</x:v>
      </x:c>
      <x:c r="C4" s="164" t="str">
        <x:v>Release v5.2 ZIP copied, locally verified and SHA-256 sidecar generated.</x:v>
      </x:c>
      <x:c r="D4" s="330" t="str">
        <x:v>LOCAL FREEZE COMPLETE / EXTERNAL DIGEST PENDING</x:v>
      </x:c>
    </x:row>
    <x:row r="5" ht="21.600000381469727" hidden="0" customHeight="1">
      <x:c r="A5" s="330" t="n">
        <x:v>4</x:v>
      </x:c>
      <x:c r="B5" s="164" t="str">
        <x:v>Hostile proof review</x:v>
      </x:c>
      <x:c r="C5" s="164" t="str">
        <x:v>Internal hostile review and response packet complete.</x:v>
      </x:c>
      <x:c r="D5" s="330" t="str">
        <x:v>INTERNAL COMPLETE / NAMED HUMAN SIGN-OFF PENDING</x:v>
      </x:c>
    </x:row>
    <x:row r="6" ht="21.600000381469727" hidden="0" customHeight="1">
      <x:c r="A6" s="330" t="n">
        <x:v>5</x:v>
      </x:c>
      <x:c r="B6" s="164" t="str">
        <x:v>Theorem manuscript</x:v>
      </x:c>
      <x:c r="C6" s="164" t="str">
        <x:v>Integrated T22/T30/T27/T38, scope matrix, dual-engine release and limitations.</x:v>
      </x:c>
      <x:c r="D6" s="330" t="str">
        <x:v>COMPLETE</x:v>
      </x:c>
    </x:row>
    <x:row r="7" ht="21.600000381469727" hidden="0" customHeight="1">
      <x:c r="A7" s="330" t="n">
        <x:v>6</x:v>
      </x:c>
      <x:c r="B7" s="164" t="str">
        <x:v>Algorithmic-contribution article</x:v>
      </x:c>
      <x:c r="C7" s="164" t="str">
        <x:v>Integrated T28/T39 framework, M153–M159 falsification map and shipping closeout.</x:v>
      </x:c>
      <x:c r="D7" s="330" t="str">
        <x:v>COMPLETE</x:v>
      </x:c>
    </x:row>
    <x:row r="8" ht="21.600000381469727" hidden="0" customHeight="1">
      <x:c r="A8" s="330" t="n">
        <x:v>7</x:v>
      </x:c>
      <x:c r="B8" s="164" t="str">
        <x:v>Reproducibility bundle</x:v>
      </x:c>
      <x:c r="C8" s="164" t="str">
        <x:v>One verification entry point, manifests, manuscripts, ledger, reports and disclosures.</x:v>
      </x:c>
      <x:c r="D8" s="330" t="str">
        <x:v>COMPLETE</x:v>
      </x:c>
    </x:row>
    <x:row r="9" ht="21.600000381469727" hidden="0" customHeight="1">
      <x:c r="A9" s="262" t="n">
        <x:v>8</x:v>
      </x:c>
      <x:c r="B9" s="262" t="str">
        <x:v>Official shipping decision</x:v>
      </x:c>
      <x:c r="C9" s="262" t="str">
        <x:v>Retain production until official effective-cost and raw-MSE parity are measured externally.</x:v>
      </x:c>
      <x:c r="D9" s="262" t="str">
        <x:v>EXTERNAL BLOCKER</x:v>
      </x:c>
    </x:row>
    <x:row r="10" ht="21.600000381469727" hidden="0" customHeight="1">
      <x:c r="A10" s="330" t="n">
        <x:v>9</x:v>
      </x:c>
      <x:c r="B10" s="164" t="str">
        <x:v>Public release authentication</x:v>
      </x:c>
      <x:c r="C10" s="164" t="str">
        <x:v>Publish archive digest through signed release/commit/DOI and run cross-OS CI.</x:v>
      </x:c>
      <x:c r="D10" s="330" t="str">
        <x:v>EXTERNAL BLOCKER</x:v>
      </x:c>
    </x:row>
    <x:row r="11" ht="21.600000381469727" hidden="0" customHeight="1">
      <x:c r="A11" s="330" t="n">
        <x:v>10</x:v>
      </x:c>
      <x:c r="B11" s="330" t="str">
        <x:v>Human mathematical and reproducibility review</x:v>
      </x:c>
      <x:c r="C11" s="330" t="str">
        <x:v>Named reviewers sign theorem/reproduction statements and assembled PDFs.</x:v>
      </x:c>
      <x:c r="D11" s="330" t="str">
        <x:v>EXTERNAL BLOCKER</x:v>
      </x:c>
    </x:row>
    <x:row r="12" ht="26.399999618530273" hidden="0" customHeight="1">
      <x:c r="A12" s="41" t="n">
        <x:v>11</x:v>
      </x:c>
      <x:c r="B12" s="41" t="str">
        <x:v>Research reopening</x:v>
      </x:c>
      <x:c r="C12" s="41" t="str">
        <x:v>Only genuinely new geometry/information/residual class with preregistered standalone gate.</x:v>
      </x:c>
      <x:c r="D12" s="41" t="str">
        <x:v>HARD STOP</x:v>
      </x:c>
    </x:row>
    <x:row r="13" ht="26.399999618530273" hidden="0" customHeight="1">
      <x:c r="A13" s="41" t="n">
        <x:v>12</x:v>
      </x:c>
      <x:c r="B13" s="41" t="str">
        <x:v>Future mathematics</x:v>
      </x:c>
      <x:c r="C13" s="41" t="str">
        <x:v>Arbitrary-node finite-width, off-support signed and nonlinear/adaptive theory remain future work.</x:v>
      </x:c>
      <x:c r="D13" s="41" t="str">
        <x:v>NON-BLOCKING FUTURE WORK</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f>COUNTA('Experiment Ledger'!A2:A395)</x:f>
        <x:v>394</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134</x:v>
      </x:c>
      <x:c r="C3" s="10"/>
      <x:c r="D3" s="10" t="str">
        <x:v>C54</x:v>
      </x:c>
      <x:c r="E3" s="10" t="str">
        <x:v>Stratified tail coresets</x:v>
      </x:c>
      <x:c r="F3" s="10" t="str">
        <x:v>Closed</x:v>
      </x:c>
      <x:c r="G3" s="10" t="str">
        <x:v>Extra strata add calibration cost and instability; closed.</x:v>
      </x:c>
    </x:row>
    <x:row r="4">
      <x:c r="A4" s="10" t="str">
        <x:v>Evidence registry rows</x:v>
      </x:c>
      <x:c r="B4" s="10" t="n">
        <x:f>COUNTA('Evidence Registry'!A2:A83)</x:f>
        <x:v>82</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v16</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row r="125" ht="48" customHeight="1">
      <x:c r="A125" s="381" t="str">
        <x:v>2026-07-30 11:56 ET</x:v>
      </x:c>
      <x:c r="B125" s="381" t="str">
        <x:v>T42–T47; M160–M162</x:v>
      </x:c>
      <x:c r="C125" s="381" t="str">
        <x:v>Oracle proof completion v18</x:v>
      </x:c>
      <x:c r="D125" s="381" t="str">
        <x:v>Added the positive-definite residual candidate, unweighted and weighted arbitrary-signed rank floors, exact phase/symmetry/gauge theorems, and hostile audit of OracleContinuation.</x:v>
      </x:c>
      <x:c r="E125" s="381" t="str">
        <x:v>Pooled coherence narrowed to a heterogeneity diagnostic; one orientation-odd experiment preregistered; no protected cohort opened.</x:v>
      </x:c>
      <x:c r="F125" s="381" t="str">
        <x:v>OracleProofCompletionV18 package</x:v>
      </x:c>
      <x:c r="G125" s="381" t="str">
        <x:v>Proof + evidence governance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v17 project closeout 2026-07-30 11:23 ET</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400</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88</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10"/>
      <x:c r="I4" s="330" t="str">
        <x:v>Production baseline status</x:v>
      </x:c>
      <x:c r="J4" s="330" t="str">
        <x:v>Retain production pending official run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19.200000762939453" hidden="0" customHeight="1">
      <x:c r="A8" s="325" t="str">
        <x:v>Independent anchor / phase</x:v>
      </x:c>
      <x:c r="B8" s="115" t="str">
        <x:v>Tested anchor and phase families closed; oracle capacity retained</x:v>
      </x:c>
      <x:c r="C8" s="115" t="str">
        <x:v>M155 finds downstream-weighted archived gain but unsafe rotation tails; M158 finds oracle 0.131 but frozen global signed rule 1.557. M146 headline curve is quarantined.</x:v>
      </x:c>
      <x:c r="D8" s="115" t="str">
        <x:v>Archived exposed and fresh/frozen synthetic</x:v>
      </x:c>
      <x:c r="E8" s="115" t="str">
        <x:v>High against tested representations</x:v>
      </x:c>
      <x:c r="F8" s="115" t="str">
        <x:v>Large oracle only</x:v>
      </x:c>
      <x:c r="G8" s="325" t="str">
        <x:v>Reopen only with genuinely new independent signed phase that passes eta_J, exact replay, tails and cost.</x:v>
      </x:c>
      <x:c r="H8" s="10"/>
      <x:c r="I8" s="262" t="str">
        <x:v>Hedge only</x:v>
      </x:c>
      <x:c r="J8" s="262" t="str">
        <x:v>No active child</x:v>
      </x:c>
    </x:row>
    <x:row r="9" ht="19.200000762939453" hidden="0"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10"/>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52.79999923706055" hidden="0" customHeight="1">
      <x:c r="A20" s="10" t="str">
        <x:v>Proof and algorithmic contribution</x:v>
      </x:c>
      <x:c r="B20" s="10" t="str">
        <x:v>Top priority: two-boundary theory</x:v>
      </x:c>
      <x:c r="C20" s="10" t="str">
        <x:v>Geometric boundary T22/T29/T30/T27/T37; information/correction boundary T28/T33; scope counterexample T32; finite-width/residual/control methodology T34–T36; normalized M153–M158 falsification map.</x:v>
      </x:c>
      <x:c r="D20" s="10" t="str">
        <x:v>Rigorous proofs plus frozen labeled evidence</x:v>
      </x:c>
      <x:c r="E20" s="10" t="str">
        <x:v>High for proved claims / explicit limits elsewhere</x:v>
      </x:c>
      <x:c r="F20" s="10" t="str">
        <x:v>Highest research value</x:v>
      </x:c>
      <x:c r="G20" s="10" t="str">
        <x:v>Finish theorem paper, contribution article, release and human sign-off.</x:v>
      </x:c>
      <x:c r="H20" s="10"/>
      <x:c r="I20" s="10" t="str">
        <x:v>Primary non-shipping output</x:v>
      </x:c>
      <x:c r="J20" s="10" t="str">
        <x:v>Two-boundary article</x:v>
      </x:c>
    </x:row>
    <x:row r="21">
      <x:c r="A21" s="41" t="str">
        <x:v>Final competition descendants</x:v>
      </x:c>
      <x:c r="B21" s="41" t="str">
        <x:v>Closed tested forms</x:v>
      </x:c>
      <x:c r="C21" s="41" t="str">
        <x:v>Stein 1.010720 and T4 shrink 1.000097; no executable change</x:v>
      </x:c>
      <x:c r="D21" s="41" t="str">
        <x:v>Fresh grouped full-width synthetic</x:v>
      </x:c>
      <x:c r="E21" s="41" t="str">
        <x:v>High for tested forms</x:v>
      </x:c>
      <x:c r="F21" s="41" t="str">
        <x:v>None deployable</x:v>
      </x:c>
      <x:c r="G21" s="41" t="str">
        <x:v>Hard stop; new information class only</x:v>
      </x:c>
      <x:c r="H21" s="41"/>
      <x:c r="I21" s="41" t="str">
        <x:v>Research status</x:v>
      </x:c>
      <x:c r="J21" s="41" t="str">
        <x:v>Stopped</x:v>
      </x:c>
    </x:row>
    <x:row r="22">
      <x:c r="A22" s="41" t="str">
        <x:v>Proof release closeout</x:v>
      </x:c>
      <x:c r="B22" s="41" t="str">
        <x:v>Local freeze complete</x:v>
      </x:c>
      <x:c r="C22" s="41" t="str">
        <x:v>Complete Decimal and GMP/MPFR reproduction; release ZIP and SHA-256 sidecar</x:v>
      </x:c>
      <x:c r="D22" s="41" t="str">
        <x:v>Full theorem certificate</x:v>
      </x:c>
      <x:c r="E22" s="41" t="str">
        <x:v>High inside scope</x:v>
      </x:c>
      <x:c r="F22" s="41" t="str">
        <x:v>Publication value</x:v>
      </x:c>
      <x:c r="G22" s="41" t="str">
        <x:v>External digest, cross-OS CI and named human sign-off</x:v>
      </x:c>
      <x:c r="H22" s="41"/>
      <x:c r="I22" s="41" t="str">
        <x:v>Proof status</x:v>
      </x:c>
      <x:c r="J22" s="41" t="str">
        <x:v>Internally complete</x:v>
      </x:c>
    </x:row>
    <x:row r="23">
      <x:c r="A23" s="41" t="str">
        <x:v>Publication artifacts</x:v>
      </x:c>
      <x:c r="B23" s="41" t="str">
        <x:v>Assembled</x:v>
      </x:c>
      <x:c r="C23" s="41" t="str">
        <x:v>Theorem manuscript, falsification article, review packet and reproducibility bundle</x:v>
      </x:c>
      <x:c r="D23" s="41" t="str">
        <x:v>Canonical claim/evidence register</x:v>
      </x:c>
      <x:c r="E23" s="41" t="str">
        <x:v>High</x:v>
      </x:c>
      <x:c r="F23" s="41" t="str">
        <x:v>High contribution value</x:v>
      </x:c>
      <x:c r="G23" s="41" t="str">
        <x:v>External review and authentication only</x:v>
      </x:c>
      <x:c r="H23" s="41"/>
      <x:c r="I23" s="41" t="str">
        <x:v>Paper status</x:v>
      </x:c>
      <x:c r="J23" s="41" t="str">
        <x:v>Ready for external review</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All-width complete-support fixed-linear symmetry</x:v>
      </x:c>
      <x:c r="D68" t="str">
        <x:v>Exact proof + exhaustive row-profile audit</x:v>
      </x:c>
      <x:c r="E68" t="str">
        <x:v>Complete 66,048-point Kerdock support; any finite width</x:v>
      </x:c>
      <x:c r="F68" t="n">
        <x:v>0</x:v>
      </x:c>
      <x:c r="G68" t="n">
        <x:v>0</x:v>
      </x:c>
      <x:c r="H68" t="n">
        <x:v>0</x:v>
      </x:c>
      <x:c r="I68" t="str">
        <x:v>No</x:v>
      </x:c>
      <x:c r="J68" t="str">
        <x:v>Uniform mass-one fixed weights minimize ensemble MSE; free-mass optimum is alpha-scaled uniform with negligible infinite-width gain.</x:v>
      </x:c>
      <x:c r="K68"/>
      <x:c r="L68" t="str">
        <x:v>Theorem</x:v>
      </x:c>
      <x:c r="M68" t="str">
        <x:v>Theorem</x:v>
      </x:c>
      <x:c r="N68" t="str">
        <x:v>No runtime</x:v>
      </x:c>
      <x:c r="O68" t="str">
        <x:v>Proved under explicit model</x:v>
      </x:c>
      <x:c r="P68" t="str">
        <x:v>High</x:v>
      </x:c>
      <x:c r="Q68" t="str">
        <x:v>Strong scope result</x:v>
      </x:c>
      <x:c r="R68" t="str">
        <x:v>Human proof audit; include fixed-linear exclusions.</x:v>
      </x:c>
      <x:c r="S68" t="str">
        <x:v>Agent3 Cascade FINAL_REPORT.md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row>
    <x:row r="90" ht="58" customHeight="1">
      <x:c r="A90" s="382" t="str">
        <x:v>T42</x:v>
      </x:c>
      <x:c r="B90" s="380" t="str">
        <x:v>Kernel certificate</x:v>
      </x:c>
      <x:c r="C90" s="380" t="str">
        <x:v>Positive-definite optimized residual</x:v>
      </x:c>
      <x:c r="D90" s="380" t="str">
        <x:v>Directed interval jet + exact rational projection</x:v>
      </x:c>
      <x:c r="E90" s="380" t="str">
        <x:v>d=256, depth-32 limiting kernel</x:v>
      </x:c>
      <x:c r="F90" s="380" t="n">
        <x:v>0</x:v>
      </x:c>
      <x:c r="G90" s="380" t="n">
        <x:v>0</x:v>
      </x:c>
      <x:c r="H90" s="380" t="n">
        <x:v>0</x:v>
      </x:c>
      <x:c r="I90" s="380" t="str">
        <x:v>No</x:v>
      </x:c>
      <x:c r="J90" s="380" t="str">
        <x:v>Strict positive residual margins in degrees 0–5; nonnegative all degrees.</x:v>
      </x:c>
      <x:c r="K90" s="384"/>
      <x:c r="L90" s="380" t="str">
        <x:v>Theorem</x:v>
      </x:c>
      <x:c r="M90" s="386" t="str">
        <x:v>Theorem</x:v>
      </x:c>
      <x:c r="N90" s="380" t="str">
        <x:v>No runtime</x:v>
      </x:c>
      <x:c r="O90" s="380" t="str">
        <x:v>Computer-assisted candidate</x:v>
      </x:c>
      <x:c r="P90" s="380" t="str">
        <x:v>High after second-stack review</x:v>
      </x:c>
      <x:c r="Q90" s="380" t="str">
        <x:v>Publication theorem</x:v>
      </x:c>
      <x:c r="R90" s="380" t="str">
        <x:v>Reimplement in Arb/MPFR and obtain named human sign-off.</x:v>
      </x:c>
      <x:c r="S90" s="380" t="str">
        <x:v>T42_POSITIVE_DEFINITE_AUXILIARY_RESIDUAL.md</x:v>
      </x:c>
    </x:row>
    <x:row r="91" ht="58" customHeight="1">
      <x:c r="A91" s="382" t="str">
        <x:v>T43</x:v>
      </x:c>
      <x:c r="B91" s="380" t="str">
        <x:v>Signed static theory</x:v>
      </x:c>
      <x:c r="C91" s="380" t="str">
        <x:v>Arbitrary-signed-node rank floor</x:v>
      </x:c>
      <x:c r="D91" s="380" t="str">
        <x:v>Exact theorem + order-47 coefficient certificate</x:v>
      </x:c>
      <x:c r="E91" s="380" t="str">
        <x:v>Any &lt;=66,048 static nodes; mass-one real weights</x:v>
      </x:c>
      <x:c r="F91" s="380" t="n">
        <x:v>0</x:v>
      </x:c>
      <x:c r="G91" s="380" t="n">
        <x:v>0</x:v>
      </x:c>
      <x:c r="H91" s="380" t="n">
        <x:v>0</x:v>
      </x:c>
      <x:c r="I91" s="380" t="str">
        <x:v>No</x:v>
      </x:c>
      <x:c r="J91" s="380" t="str">
        <x:v>MSE &gt;=1.7017556669835916e-8; &gt;=6.9925767% of Kerdock MSE; improvement cap 14.30088x.</x:v>
      </x:c>
      <x:c r="K91" s="384" t="n">
        <x:v>0.0699257668273</x:v>
      </x:c>
      <x:c r="L91" s="380" t="str">
        <x:v>Theorem</x:v>
      </x:c>
      <x:c r="M91" s="386" t="n">
        <x:v>14.30088</x:v>
      </x:c>
      <x:c r="N91" s="380" t="str">
        <x:v>No runtime</x:v>
      </x:c>
      <x:c r="O91" s="380" t="str">
        <x:v>Abstract theorem proved / numerical candidate</x:v>
      </x:c>
      <x:c r="P91" s="380" t="str">
        <x:v>High after second-stack review</x:v>
      </x:c>
      <x:c r="Q91" s="380" t="str">
        <x:v>Partial global signed closure</x:v>
      </x:c>
      <x:c r="R91" s="380" t="str">
        <x:v>Independent interval stack and human normalization/rank audit.</x:v>
      </x:c>
      <x:c r="S91" s="380" t="str">
        <x:v>T43_ARBITRARY_SIGNED_NODE_RANK_FLOOR.md</x:v>
      </x:c>
    </x:row>
    <x:row r="92" ht="58" customHeight="1">
      <x:c r="A92" s="382" t="str">
        <x:v>T44</x:v>
      </x:c>
      <x:c r="B92" s="380" t="str">
        <x:v>Information theory</x:v>
      </x:c>
      <x:c r="C92" s="380" t="str">
        <x:v>Quantitative phase-information bounds</x:v>
      </x:c>
      <x:c r="D92" s="380" t="str">
        <x:v>Exact proof</x:v>
      </x:c>
      <x:c r="E92" s="380" t="str">
        <x:v>Abstract binary phase / finite action protocols</x:v>
      </x:c>
      <x:c r="F92" s="380" t="n">
        <x:v>0</x:v>
      </x:c>
      <x:c r="G92" s="380" t="n">
        <x:v>0</x:v>
      </x:c>
      <x:c r="H92" s="380" t="n">
        <x:v>0</x:v>
      </x:c>
      <x:c r="I92" s="380" t="str">
        <x:v>No</x:v>
      </x:c>
      <x:c r="J92" s="380" t="str">
        <x:v>Correction fraction &lt;=2I for balanced binary phase; sequential chain rule and Fano selection bound.</x:v>
      </x:c>
      <x:c r="K92" s="384"/>
      <x:c r="L92" s="380" t="str">
        <x:v>Theorem</x:v>
      </x:c>
      <x:c r="M92" s="386" t="str">
        <x:v>Theorem</x:v>
      </x:c>
      <x:c r="N92" s="380" t="str">
        <x:v>No runtime</x:v>
      </x:c>
      <x:c r="O92" s="380" t="str">
        <x:v>Proved abstractly</x:v>
      </x:c>
      <x:c r="P92" s="380" t="str">
        <x:v>High in scope</x:v>
      </x:c>
      <x:c r="Q92" s="380" t="str">
        <x:v>Organizing theorem</x:v>
      </x:c>
      <x:c r="R92" s="380" t="str">
        <x:v>Obtain a real legal transcript KL or symmetry bound before numerical application.</x:v>
      </x:c>
      <x:c r="S92" s="380" t="str">
        <x:v>T44_PHASE_INFORMATION_BOUNDS.md</x:v>
      </x:c>
    </x:row>
    <x:row r="93" ht="58" customHeight="1">
      <x:c r="A93" s="382" t="str">
        <x:v>T45</x:v>
      </x:c>
      <x:c r="B93" s="380" t="str">
        <x:v>Observability theory</x:v>
      </x:c>
      <x:c r="C93" s="380" t="str">
        <x:v>Symmetry-defect alignment bound</x:v>
      </x:c>
      <x:c r="D93" s="380" t="str">
        <x:v>Exact Hilbert identity</x:v>
      </x:c>
      <x:c r="E93" s="380" t="str">
        <x:v>Specified measure-preserving involution and policy class</x:v>
      </x:c>
      <x:c r="F93" s="380" t="n">
        <x:v>0</x:v>
      </x:c>
      <x:c r="G93" s="380" t="n">
        <x:v>0</x:v>
      </x:c>
      <x:c r="H93" s="380" t="n">
        <x:v>0</x:v>
      </x:c>
      <x:c r="I93" s="380" t="str">
        <x:v>No</x:v>
      </x:c>
      <x:c r="J93" s="380" t="str">
        <x:v>Normalized alignment &lt;=(delta_e+delta_c)/2; correction fraction bounded by its square.</x:v>
      </x:c>
      <x:c r="K93" s="384"/>
      <x:c r="L93" s="380" t="str">
        <x:v>Theorem</x:v>
      </x:c>
      <x:c r="M93" s="386" t="str">
        <x:v>Theorem</x:v>
      </x:c>
      <x:c r="N93" s="380" t="str">
        <x:v>No runtime</x:v>
      </x:c>
      <x:c r="O93" s="380" t="str">
        <x:v>Proved / application conditional</x:v>
      </x:c>
      <x:c r="P93" s="380" t="str">
        <x:v>High in scope</x:v>
      </x:c>
      <x:c r="Q93" s="380" t="str">
        <x:v>Approximate symmetry methodology</x:v>
      </x:c>
      <x:c r="R93" s="380" t="str">
        <x:v>Specify and audit one actual WHestBench action.</x:v>
      </x:c>
      <x:c r="S93" s="380" t="str">
        <x:v>T45_SYMMETRY_DEFECT_ALIGNMENT_BOUND.md</x:v>
      </x:c>
    </x:row>
    <x:row r="94" ht="58" customHeight="1">
      <x:c r="A94" s="382" t="str">
        <x:v>T46</x:v>
      </x:c>
      <x:c r="B94" s="380" t="str">
        <x:v>Representation theory</x:v>
      </x:c>
      <x:c r="C94" s="380" t="str">
        <x:v>Gauge-invariant coefficient obstruction</x:v>
      </x:c>
      <x:c r="D94" s="380" t="str">
        <x:v>Exact group/minimax proof</x:v>
      </x:c>
      <x:c r="E94" s="380" t="str">
        <x:v>Orientation-blind signed coefficient representations</x:v>
      </x:c>
      <x:c r="F94" s="380" t="n">
        <x:v>0</x:v>
      </x:c>
      <x:c r="G94" s="380" t="n">
        <x:v>0</x:v>
      </x:c>
      <x:c r="H94" s="380" t="n">
        <x:v>0</x:v>
      </x:c>
      <x:c r="I94" s="380" t="str">
        <x:v>No</x:v>
      </x:c>
      <x:c r="J94" s="380" t="str">
        <x:v>Full independent sign-gauge invariant subspace is zero; quotient-identical opposite targets cannot be uniformly predicted.</x:v>
      </x:c>
      <x:c r="K94" s="384"/>
      <x:c r="L94" s="380" t="str">
        <x:v>Theorem</x:v>
      </x:c>
      <x:c r="M94" s="386" t="str">
        <x:v>Theorem</x:v>
      </x:c>
      <x:c r="N94" s="380" t="str">
        <x:v>No runtime</x:v>
      </x:c>
      <x:c r="O94" s="380" t="str">
        <x:v>Proved for representation class</x:v>
      </x:c>
      <x:c r="P94" s="380" t="str">
        <x:v>High</x:v>
      </x:c>
      <x:c r="Q94" s="380" t="str">
        <x:v>Explains M153 feature weakness</x:v>
      </x:c>
      <x:c r="R94" s="380" t="str">
        <x:v>Test one canonically oriented odd feature under frozen preregistration.</x:v>
      </x:c>
      <x:c r="S94" s="380" t="str">
        <x:v>T46_GAUGE_INVARIANT_COEFFICIENT_OBSTRUCTION.md</x:v>
      </x:c>
    </x:row>
    <x:row r="95" ht="58" customHeight="1">
      <x:c r="A95" s="382" t="str">
        <x:v>M160</x:v>
      </x:c>
      <x:c r="B95" s="380" t="str">
        <x:v>Oracle attribution</x:v>
      </x:c>
      <x:c r="C95" s="380" t="str">
        <x:v>Pooled checkpoint heterogeneity</x:v>
      </x:c>
      <x:c r="D95" s="380" t="str">
        <x:v>Authenticated-array analysis</x:v>
      </x:c>
      <x:c r="E95" s="380" t="str">
        <x:v>12 base networks x3 rotations; dev/val/confirmation</x:v>
      </x:c>
      <x:c r="F95" s="380" t="n">
        <x:v>12</x:v>
      </x:c>
      <x:c r="G95" s="380" t="n">
        <x:v>4</x:v>
      </x:c>
      <x:c r="H95" s="380" t="n">
        <x:v>4</x:v>
      </x:c>
      <x:c r="I95" s="380" t="str">
        <x:v>No</x:v>
      </x:c>
      <x:c r="J95" s="380" t="str">
        <x:v>Pooled effective ranks 3.824/3.803/4.287; last-two energy 7.25%/8.23%/9.84%.</x:v>
      </x:c>
      <x:c r="K95" s="384"/>
      <x:c r="L95" s="380" t="str">
        <x:v>Diagnostic</x:v>
      </x:c>
      <x:c r="M95" s="386" t="n">
        <x:v>0.187</x:v>
      </x:c>
      <x:c r="N95" s="380" t="str">
        <x:v>Analysis only</x:v>
      </x:c>
      <x:c r="O95" s="380" t="str">
        <x:v>Replicated mechanism diagnostic</x:v>
      </x:c>
      <x:c r="P95" s="380" t="str">
        <x:v>High for pooled result</x:v>
      </x:c>
      <x:c r="Q95" s="380" t="str">
        <x:v>Guides representation target</x:v>
      </x:c>
      <x:c r="R95" s="380" t="str">
        <x:v>Recover per-network increment Grams before a within-network rank claim.</x:v>
      </x:c>
      <x:c r="S95" s="380" t="str">
        <x:v>CROSS_LAYER_COHERENCE_CORRECTED_INTERPRETATION.md</x:v>
      </x:c>
    </x:row>
    <x:row r="96" ht="58" customHeight="1">
      <x:c r="A96" s="382" t="str">
        <x:v>M161</x:v>
      </x:c>
      <x:c r="B96" s="380" t="str">
        <x:v>Layer31 phase</x:v>
      </x:c>
      <x:c r="C96" s="380" t="str">
        <x:v>Five-source coefficient synthesis</x:v>
      </x:c>
      <x:c r="D96" s="380" t="str">
        <x:v>Grouped development + confirmation diagnostic</x:v>
      </x:c>
      <x:c r="E96" s="380" t="str">
        <x:v>OracleContinuation synthetic campaign</x:v>
      </x:c>
      <x:c r="F96" s="380" t="n">
        <x:v>4</x:v>
      </x:c>
      <x:c r="G96" s="380" t="n">
        <x:v>4</x:v>
      </x:c>
      <x:c r="H96" s="380" t="n">
        <x:v>4</x:v>
      </x:c>
      <x:c r="I96" s="380" t="str">
        <x:v>No</x:v>
      </x:c>
      <x:c r="J96" s="380" t="str">
        <x:v>Development selected rule 1.132, worst 2.212; confirmation diagnostic 0.872, worst 3.055; fixed global 0.778.</x:v>
      </x:c>
      <x:c r="K96" s="384" t="n">
        <x:v>1.132</x:v>
      </x:c>
      <x:c r="L96" s="380" t="str">
        <x:v>Failed dev gate</x:v>
      </x:c>
      <x:c r="M96" s="386" t="n">
        <x:v>3.055</x:v>
      </x:c>
      <x:c r="N96" s="380" t="str">
        <x:v>Source/control costs</x:v>
      </x:c>
      <x:c r="O96" s="380" t="str">
        <x:v>Closed tested class</x:v>
      </x:c>
      <x:c r="P96" s="380" t="str">
        <x:v>High</x:v>
      </x:c>
      <x:c r="Q96" s="380" t="str">
        <x:v>Oracle span retained</x:v>
      </x:c>
      <x:c r="R96" s="380" t="str">
        <x:v>No further ridge/features on this exact source set.</x:v>
      </x:c>
      <x:c r="S96" s="380" t="str">
        <x:v>ORACLE_CONTINUATION_HOSTILE_AUDIT.md</x:v>
      </x:c>
    </x:row>
    <x:row r="97" ht="58" customHeight="1">
      <x:c r="A97" s="383" t="str">
        <x:v>M162</x:v>
      </x:c>
      <x:c r="B97" s="381" t="str">
        <x:v>Layer31 phase</x:v>
      </x:c>
      <x:c r="C97" s="381" t="str">
        <x:v>Edge-state scalar-source ceiling</x:v>
      </x:c>
      <x:c r="D97" s="381" t="str">
        <x:v>Frozen chronological test ceiling</x:v>
      </x:c>
      <x:c r="E97" s="381" t="str">
        <x:v>Projected-ReLU scalar source</x:v>
      </x:c>
      <x:c r="F97" s="381" t="n">
        <x:v>16</x:v>
      </x:c>
      <x:c r="G97" s="381" t="n">
        <x:v>0</x:v>
      </x:c>
      <x:c r="H97" s="381" t="n">
        <x:v>16</x:v>
      </x:c>
      <x:c r="I97" s="381" t="str">
        <x:v>No</x:v>
      </x:c>
      <x:c r="J97" s="381" t="str">
        <x:v>Exact scalar Oracle gain 1.144709x, below frozen 1.15x gate.</x:v>
      </x:c>
      <x:c r="K97" s="385" t="n">
        <x:v>0.8735844655715994</x:v>
      </x:c>
      <x:c r="L97" s="381" t="str">
        <x:v>Oracle ceiling</x:v>
      </x:c>
      <x:c r="M97" s="387" t="str">
        <x:v>N/A</x:v>
      </x:c>
      <x:c r="N97" s="381" t="str">
        <x:v>Full Edge-DWS not run</x:v>
      </x:c>
      <x:c r="O97" s="381" t="str">
        <x:v>Source stopped / model class open</x:v>
      </x:c>
      <x:c r="P97" s="381" t="str">
        <x:v>High for frozen source</x:v>
      </x:c>
      <x:c r="Q97" s="381" t="str">
        <x:v>Avoids unnecessary training</x:v>
      </x:c>
      <x:c r="R97" s="381" t="str">
        <x:v>Reopen Edge-DWS only around a source/basis with comfortable Oracle margin.</x:v>
      </x:c>
      <x:c r="S97" s="381" t="str">
        <x:v>ORACLE_CONTINUATION_HOSTILE_AUDIT.md</x:v>
      </x:c>
    </x:row>
    <x:row r="98" ht="64" customHeight="1">
      <x:c r="A98" s="435" t="str">
        <x:v>T47</x:v>
      </x:c>
      <x:c r="B98" s="434" t="str">
        <x:v>Signed static theory</x:v>
      </x:c>
      <x:c r="C98" s="434" t="str">
        <x:v>Weighted harmonic arbitrary-signed rank floor</x:v>
      </x:c>
      <x:c r="D98" s="434" t="str">
        <x:v>Exact theorem + order-47 weighted coefficient certificate</x:v>
      </x:c>
      <x:c r="E98" s="434" t="str">
        <x:v>Any &lt;=66,048 static nodes; mass-one real weights; degrees 0–15 feature weighting</x:v>
      </x:c>
      <x:c r="F98" s="434" t="n">
        <x:v>0</x:v>
      </x:c>
      <x:c r="G98" s="434" t="n">
        <x:v>0</x:v>
      </x:c>
      <x:c r="H98" s="434" t="n">
        <x:v>0</x:v>
      </x:c>
      <x:c r="I98" s="434" t="str">
        <x:v>No</x:v>
      </x:c>
      <x:c r="J98" s="434" t="str">
        <x:v>MSE &gt;=1.2294295437956858e-7; &gt;=50.5177125% of Kerdock MSE; improvement cap 1.979503722x.</x:v>
      </x:c>
      <x:c r="K98" s="436" t="n">
        <x:v>0.505177125470747</x:v>
      </x:c>
      <x:c r="L98" s="434" t="str">
        <x:v>Theorem</x:v>
      </x:c>
      <x:c r="M98" s="437" t="n">
        <x:v>1.979503722</x:v>
      </x:c>
      <x:c r="N98" s="434" t="str">
        <x:v>No runtime</x:v>
      </x:c>
      <x:c r="O98" s="434" t="str">
        <x:v>Abstract theorem proved / numerical candidate</x:v>
      </x:c>
      <x:c r="P98" s="434" t="str">
        <x:v>High after second-stack review</x:v>
      </x:c>
      <x:c r="Q98" s="434" t="str">
        <x:v>Strong partial global signed closure</x:v>
      </x:c>
      <x:c r="R98" s="434" t="str">
        <x:v>Reimplement all active degree 1–30 comparisons in Arb/MPFR and obtain human sign-off.</x:v>
      </x:c>
      <x:c r="S98" s="434" t="str">
        <x:v>T47_WEIGHTED_HARMONIC_RANK_FLOOR.md</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d643d61e49d54e1b"/>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sheetData>
  <x:pageMargins left="0.7" right="0.7" top="0.75" bottom="0.75" header="0.3" footer="0.3"/>
  <x:tableParts count="1">
    <x:tablePart xmlns:r="http://schemas.openxmlformats.org/officeDocument/2006/relationships" r:id="R1dbb23e7b79b4e32"/>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39.599998474121094" hidden="0" customHeight="1">
      <x:c r="A2" s="10" t="str">
        <x:v>Kerdock near-optimality</x:v>
      </x:c>
      <x:c r="B2" s="10" t="str">
        <x:v>COMPUTER-ASSISTED CERTIFIED</x:v>
      </x:c>
      <x:c r="C2" s="10" t="str">
        <x:v>d256, depth32 infinite-width normalized ReLU kernel; ≤66,048 nodes; fixed/network-independent randomized; nonnegative mass-one</x:v>
      </x:c>
      <x:c r="D2" s="10" t="str">
        <x:v>T22/T23/T31</x:v>
      </x:c>
      <x:c r="E2" s="10" t="str">
        <x:v>True relative excess lies in [0,0.02336550102949%] in this class.</x:v>
      </x:c>
      <x:c r="F2" s="10" t="str">
        <x:v>One-sided logic; finite-width/adaptive scope leakage</x:v>
      </x:c>
      <x:c r="G2" s="10" t="str">
        <x:v>Keep exclusions in theorem, abstract and figures.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10" t="str">
        <x:v>Coordinator</x:v>
      </x:c>
      <x:c r="B2" s="10" t="str">
        <x:v>Claims and split governance</x:v>
      </x:c>
      <x:c r="C2" s="10" t="str">
        <x:v>Does every paper claim have the right status, source and scope?</x:v>
      </x:c>
      <x:c r="D2" s="10" t="str">
        <x:v>v15; all agent reports</x:v>
      </x:c>
      <x:c r="E2" s="10" t="str">
        <x:v>CLAIM_REGISTER.md; issue tracker; merged decisions</x:v>
      </x:c>
      <x:c r="F2" s="10" t="str">
        <x:v>All claims resolved or explicitly downgraded/open</x:v>
      </x:c>
    </x:row>
    <x:row r="3">
      <x:c r="A3" s="10" t="str">
        <x:v>Proof verifier A</x:v>
      </x:c>
      <x:c r="B3" s="10" t="str">
        <x:v>Hostile T22 math review</x:v>
      </x:c>
      <x:c r="C3" s="10" t="str">
        <x:v>Is the stated Delsarte proof valid under exactly its scope?</x:v>
      </x:c>
      <x:c r="D3" s="10" t="str">
        <x:v>main.pdf; theorem source; proof audit</x:v>
      </x:c>
      <x:c r="E3" s="10" t="str">
        <x:v>independent derivation; gap list; verdict</x:v>
      </x:c>
      <x:c r="F3" s="10" t="str">
        <x:v>Proof passes or a concrete unresolved gap is found</x:v>
      </x:c>
    </x:row>
    <x:row r="4">
      <x:c r="A4" s="10" t="str">
        <x:v>Certificate verifier B</x:v>
      </x:c>
      <x:c r="B4" s="10" t="str">
        <x:v>Hostile software/trust review</x:v>
      </x:c>
      <x:c r="C4" s="10" t="str">
        <x:v>Do the interval and manifest artifacts reproduce without hidden trust?</x:v>
      </x:c>
      <x:c r="D4" s="10" t="str">
        <x:v>proof bundle; hashes</x:v>
      </x:c>
      <x:c r="E4" s="10" t="str">
        <x:v>clean-room logs; trust-base audit; verdict</x:v>
      </x:c>
      <x:c r="F4" s="10" t="str">
        <x:v>Byte reproduction and numerical claims verified or failure isolated</x:v>
      </x:c>
    </x:row>
    <x:row r="5">
      <x:c r="A5" s="10" t="str">
        <x:v>T27 adversary</x:v>
      </x:c>
      <x:c r="B5" s="10" t="str">
        <x:v>Restricted signed theorem audit</x:v>
      </x:c>
      <x:c r="C5" s="10" t="str">
        <x:v>Is the Kerdock-line global optimum exact, and can scope be confused with arbitrary nodes?</x:v>
      </x:c>
      <x:c r="D5" s="10" t="str">
        <x:v>GLOBAL_SUPPORT_THEOREM; code</x:v>
      </x:c>
      <x:c r="E5" s="10" t="str">
        <x:v>derivation; counterexample search; scope table</x:v>
      </x:c>
      <x:c r="F5" s="10" t="str">
        <x:v>Proof passes and boundary examples documented</x:v>
      </x:c>
    </x:row>
    <x:row r="6">
      <x:c r="A6" s="10" t="str">
        <x:v>T16 analytic</x:v>
      </x:c>
      <x:c r="B6" s="10" t="str">
        <x:v>Analytic high-degree tail</x:v>
      </x:c>
      <x:c r="C6" s="10" t="str">
        <x:v>Can normalized Gegenbauer bounds prove all remaining reduced costs negative?</x:v>
      </x:c>
      <x:c r="D6" s="10" t="str">
        <x:v>dual witnesses; contact points; coefficients</x:v>
      </x:c>
      <x:c r="E6" s="10" t="str">
        <x:v>finite cutoff proof; theorem draft</x:v>
      </x:c>
      <x:c r="F6" s="10" t="str">
        <x:v>Proof succeeds or a precise missing inequality remains</x:v>
      </x:c>
    </x:row>
    <x:row r="7">
      <x:c r="A7" s="10" t="str">
        <x:v>T16 interval</x:v>
      </x:c>
      <x:c r="B7" s="10" t="str">
        <x:v>Independent computational tail</x:v>
      </x:c>
      <x:c r="C7" s="10" t="str">
        <x:v>Can an independent interval stack certify finite modes and tail?</x:v>
      </x:c>
      <x:c r="D7" s="10" t="str">
        <x:v>same witnesses, independent implementation</x:v>
      </x:c>
      <x:c r="E7" s="10" t="str">
        <x:v>machine certificate; reproducibility package</x:v>
      </x:c>
      <x:c r="F7" s="10" t="str">
        <x:v>Certificate succeeds or numerical instability blocks it</x:v>
      </x:c>
    </x:row>
    <x:row r="8">
      <x:c r="A8" s="10" t="str">
        <x:v>Signed-weight agent</x:v>
      </x:c>
      <x:c r="B8" s="10" t="str">
        <x:v>Negative-mass stability</x:v>
      </x:c>
      <x:c r="C8" s="10" t="str">
        <x:v>How strong is Proposition5 numerically and is it sharp?</x:v>
      </x:c>
      <x:c r="D8" s="10" t="str">
        <x:v>minorant h,K; proof memo</x:v>
      </x:c>
      <x:c r="E8" s="10" t="str">
        <x:v>certified M; beta curves; adversarial examples</x:v>
      </x:c>
      <x:c r="F8" s="10" t="str">
        <x:v>Useful curve produced or bound shown vacuous</x:v>
      </x:c>
    </x:row>
    <x:row r="9">
      <x:c r="A9" s="10" t="str">
        <x:v>Anchor theorist</x:v>
      </x:c>
      <x:c r="B9" s="10" t="str">
        <x:v>Correction/observability formalizer</x:v>
      </x:c>
      <x:c r="C9" s="10" t="str">
        <x:v>What is truly proved about replacement and phase?</x:v>
      </x:c>
      <x:c r="D9" s="10" t="str">
        <x:v>T28; layer31 algebra</x:v>
      </x:c>
      <x:c r="E9" s="10" t="str">
        <x:v>formal appendix; assumption map</x:v>
      </x:c>
      <x:c r="F9" s="10" t="str">
        <x:v>All theorem statements and proofs complete</x:v>
      </x:c>
    </x:row>
    <x:row r="10">
      <x:c r="A10" s="10" t="str">
        <x:v>Anchor adversary</x:v>
      </x:c>
      <x:c r="B10" s="10" t="str">
        <x:v>Structured-error red team</x:v>
      </x:c>
      <x:c r="C10" s="10" t="str">
        <x:v>Can structured anchor errors evade the empirical cliff or theorem assumptions?</x:v>
      </x:c>
      <x:c r="D10" s="10" t="str">
        <x:v>M146 data; T4 rows</x:v>
      </x:c>
      <x:c r="E10" s="10" t="str">
        <x:v>counterexamples or robust tolerance curves</x:v>
      </x:c>
      <x:c r="F10" s="10" t="str">
        <x:v>Threshold stable or exact limitation found</x:v>
      </x:c>
    </x:row>
    <x:row r="11">
      <x:c r="A11" s="10" t="str">
        <x:v>Learning positive</x:v>
      </x:c>
      <x:c r="B11" s="10" t="str">
        <x:v>Best-case scalar reproduction</x:v>
      </x:c>
      <x:c r="C11" s="10" t="str">
        <x:v>Can a legitimate grouped model beat baseline from archived features?</x:v>
      </x:c>
      <x:c r="D11" s="10" t="str">
        <x:v>M152 spec; exact labels</x:v>
      </x:c>
      <x:c r="E11" s="10" t="str">
        <x:v>frozen models; row predictions; held-out metrics</x:v>
      </x:c>
      <x:c r="F11" s="10" t="str">
        <x:v>Predeclared gate fails or one model passes</x:v>
      </x:c>
    </x:row>
    <x:row r="12">
      <x:c r="A12" s="10" t="str">
        <x:v>Learning skeptic</x:v>
      </x:c>
      <x:c r="B12" s="10" t="str">
        <x:v>Leakage/power audit</x:v>
      </x:c>
      <x:c r="C12" s="10" t="str">
        <x:v>Is M152 statistically valid and sufficiently powered?</x:v>
      </x:c>
      <x:c r="D12" s="10" t="str">
        <x:v>same corpus and chronology</x:v>
      </x:c>
      <x:c r="E12" s="10" t="str">
        <x:v>leakage report; confidence intervals; effective N</x:v>
      </x:c>
      <x:c r="F12" s="10" t="str">
        <x:v>Validity established or result downgraded</x:v>
      </x:c>
    </x:row>
    <x:row r="13">
      <x:c r="A13" s="10" t="str">
        <x:v>Harmonic auditor</x:v>
      </x:c>
      <x:c r="B13" s="10" t="str">
        <x:v>Control-class theorem audit</x:v>
      </x:c>
      <x:c r="C13" s="10" t="str">
        <x:v>Which controls vanish exactly and which only failed empirically?</x:v>
      </x:c>
      <x:c r="D13" s="10" t="str">
        <x:v>T25/M79/V67/T2/harmonic reports</x:v>
      </x:c>
      <x:c r="E13" s="10" t="str">
        <x:v>class taxonomy; proofs; counterexamples</x:v>
      </x:c>
      <x:c r="F13" s="10" t="str">
        <x:v>No broad unsupported statement remains</x:v>
      </x:c>
    </x:row>
    <x:row r="14">
      <x:c r="A14" s="10" t="str">
        <x:v>Evidence auditor</x:v>
      </x:c>
      <x:c r="B14" s="10" t="str">
        <x:v>Numbers and provenance</x:v>
      </x:c>
      <x:c r="C14" s="10" t="str">
        <x:v>Can every table and headline number be regenerated and traced?</x:v>
      </x:c>
      <x:c r="D14" s="10" t="str">
        <x:v>ledger; raw rows; manifests</x:v>
      </x:c>
      <x:c r="E14" s="10" t="str">
        <x:v>paper evidence table; discrepancy log</x:v>
      </x:c>
      <x:c r="F14" s="10" t="str">
        <x:v>All headline values verified or removed</x:v>
      </x:c>
    </x:row>
    <x:row r="15">
      <x:c r="A15" s="10" t="str">
        <x:v>Paper red team</x:v>
      </x:c>
      <x:c r="B15" s="10" t="str">
        <x:v>Skeptical reviewer</x:v>
      </x:c>
      <x:c r="C15" s="10" t="str">
        <x:v>What would cause rejection for novelty, theorem scope or evidence quality?</x:v>
      </x:c>
      <x:c r="D15" s="10" t="str">
        <x:v>full draft and bundle</x:v>
      </x:c>
      <x:c r="E15" s="10" t="str">
        <x:v>fatal/major/minor review; required revisions</x:v>
      </x:c>
      <x:c r="F15" s="10" t="str">
        <x:v>Authors resolve or disclose every major issue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Final v17 ledger</x:v>
      </x:c>
      <x:c r="B3" s="41" t="str">
        <x:v>Complete</x:v>
      </x:c>
      <x:c r="C3" s="41" t="str">
        <x:v>This workbook</x:v>
      </x:c>
      <x:c r="D3" s="41" t="str">
        <x:v>None</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Complete draft for external review</x:v>
      </x:c>
      <x:c r="C6" s="41" t="str">
        <x:v>whestbench_theorem_manuscript_v17.pdf/.md</x:v>
      </x:c>
      <x:c r="D6" s="41" t="str">
        <x:v>Human editorial/related-work review</x:v>
      </x:c>
    </x:row>
    <x:row r="7" ht="15" hidden="0" customHeight="1">
      <x:c r="A7" s="41" t="str">
        <x:v>Algorithmic-contribution article</x:v>
      </x:c>
      <x:c r="B7" s="41" t="str">
        <x:v>Complete draft for external review</x:v>
      </x:c>
      <x:c r="C7" s="41" t="str">
        <x:v>whestbench_algorithmic_contribution_article_v17.pdf/.md</x:v>
      </x:c>
      <x:c r="D7" s="41" t="str">
        <x:v>Human editorial review</x:v>
      </x:c>
    </x:row>
    <x:row r="8" ht="15" hidden="0" customHeight="1">
      <x:c r="A8" s="41" t="str">
        <x:v>Reproducibility bundle</x:v>
      </x:c>
      <x:c r="B8" s="41" t="str">
        <x:v>Complete and locally verified</x:v>
      </x:c>
      <x:c r="C8" s="41" t="str">
        <x:v>WHestBench_Project_Closeout_v17_20260730.zip</x:v>
      </x:c>
      <x:c r="D8" s="41" t="str">
        <x:v>External archival publication</x:v>
      </x:c>
    </x:row>
    <x:row r="9" ht="15" hidden="0" customHeight="1">
      <x:c r="A9" s="41" t="str">
        <x:v>Research program</x:v>
      </x:c>
      <x:c r="B9" s="41" t="str">
        <x:v>Stopped</x:v>
      </x:c>
      <x:c r="C9" s="41" t="str">
        <x:v>M159 plus canonical falsification map</x:v>
      </x:c>
      <x:c r="D9" s="41" t="str">
        <x:v>Reopen only under v17 gate</x:v>
      </x:c>
    </x:row>
    <x:row r="10" ht="15" hidden="0" customHeight="1">
      <x:c r="A10" s="41" t="str">
        <x:v>Overall disposition</x:v>
      </x:c>
      <x:c r="B10" s="41" t="str">
        <x:v>INTERNALLY COMPLETE / EXTERNAL RELEASE GATES PENDING</x:v>
      </x:c>
      <x:c r="C10" s="41" t="str">
        <x:v>v17 closeout bundle</x:v>
      </x:c>
      <x:c r="D10" s="41" t="str">
        <x:v>Official grade, external authentication, named human approvals</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2" hidden="0" customWidth="1"/>
    <x:col min="2" max="2" width="31" hidden="0" customWidth="1"/>
    <x:col min="3" max="3" width="22" hidden="0" customWidth="1"/>
    <x:col min="4" max="4" width="25" hidden="0" customWidth="1"/>
    <x:col min="5" max="5" width="30" hidden="0" customWidth="1"/>
    <x:col min="6" max="6" width="36" hidden="0" customWidth="1"/>
    <x:col min="7" max="7" width="10" hidden="0" customWidth="1"/>
    <x:col min="8" max="8" width="42" hidden="0" customWidth="1"/>
  </x:cols>
  <x:sheetData>
    <x:row r="1" ht="30" customHeight="1">
      <x:c r="A1" s="415" t="str">
        <x:v>WHestBench Oracle Proof Completion — v18</x:v>
      </x:c>
      <x:c r="B1" s="415"/>
      <x:c r="C1" s="415"/>
      <x:c r="D1" s="415"/>
      <x:c r="E1" s="415"/>
      <x:c r="F1" s="415"/>
      <x:c r="G1" s="415"/>
      <x:c r="H1" s="415"/>
    </x:row>
    <x:row r="2" ht="30" customHeight="1">
      <x:c r="A2" s="394" t="str">
        <x:v>Scoped theorem progress, hostile audit, corrected Oracle interpretation, and one bounded constructive experiment. No protected cohort opened.</x:v>
      </x:c>
      <x:c r="B2" s="394"/>
      <x:c r="C2" s="394"/>
      <x:c r="D2" s="394"/>
      <x:c r="E2" s="394"/>
      <x:c r="F2" s="394"/>
      <x:c r="G2" s="394"/>
      <x:c r="H2" s="394"/>
    </x:row>
    <x:row r="3">
      <x:c r="A3" s="10"/>
      <x:c r="B3" s="10"/>
      <x:c r="C3" s="10"/>
      <x:c r="D3" s="10"/>
      <x:c r="E3" s="10"/>
      <x:c r="F3" s="10"/>
      <x:c r="G3" s="10"/>
      <x:c r="H3" s="10"/>
    </x:row>
    <x:row r="4">
      <x:c r="A4" s="399" t="str">
        <x:v>ID</x:v>
      </x:c>
      <x:c r="B4" s="399" t="str">
        <x:v>Result</x:v>
      </x:c>
      <x:c r="C4" s="399" t="str">
        <x:v>Status</x:v>
      </x:c>
      <x:c r="D4" s="399" t="str">
        <x:v>Key number</x:v>
      </x:c>
      <x:c r="E4" s="399" t="str">
        <x:v>Scope guard</x:v>
      </x:c>
      <x:c r="F4" s="399" t="str">
        <x:v>Next decisive action</x:v>
      </x:c>
      <x:c r="G4" s="399" t="str">
        <x:v>Priority</x:v>
      </x:c>
      <x:c r="H4" s="399" t="str">
        <x:v>Artifact</x:v>
      </x:c>
    </x:row>
    <x:row r="5">
      <x:c r="A5" s="382" t="str">
        <x:v>T42</x:v>
      </x:c>
      <x:c r="B5" s="380" t="str">
        <x:v>Positive-definite T16 residual</x:v>
      </x:c>
      <x:c r="C5" s="380" t="str">
        <x:v>Candidate</x:v>
      </x:c>
      <x:c r="D5" s="380" t="str">
        <x:v>Strict margins deg. 0–5</x:v>
      </x:c>
      <x:c r="E5" s="380" t="str">
        <x:v>Limiting kernel; not signed T22 transfer</x:v>
      </x:c>
      <x:c r="F5" s="380" t="str">
        <x:v>Independent Arb/MPFR stack</x:v>
      </x:c>
      <x:c r="G5" s="380" t="n">
        <x:v>1</x:v>
      </x:c>
      <x:c r="H5" s="380" t="str">
        <x:v>T42_POSITIVE_DEFINITE_AUXILIARY_RESIDUAL.md</x:v>
      </x:c>
    </x:row>
    <x:row r="6">
      <x:c r="A6" s="382" t="str">
        <x:v>T43</x:v>
      </x:c>
      <x:c r="B6" s="380" t="str">
        <x:v>Global static signed-node floor</x:v>
      </x:c>
      <x:c r="C6" s="380" t="str">
        <x:v>Candidate specialization</x:v>
      </x:c>
      <x:c r="D6" s="380" t="str">
        <x:v>MSE &gt;=1.7017557e-8; cap 14.30088x</x:v>
      </x:c>
      <x:c r="E6" s="380" t="str">
        <x:v>Static, network-independent, mass-one</x:v>
      </x:c>
      <x:c r="F6" s="380" t="str">
        <x:v>Second-stack numerics + human rank audit</x:v>
      </x:c>
      <x:c r="G6" s="380" t="n">
        <x:v>1</x:v>
      </x:c>
      <x:c r="H6" s="380" t="str">
        <x:v>T43_ARBITRARY_SIGNED_NODE_RANK_FLOOR.md</x:v>
      </x:c>
    </x:row>
    <x:row r="7">
      <x:c r="A7" s="382" t="str">
        <x:v>T44</x:v>
      </x:c>
      <x:c r="B7" s="380" t="str">
        <x:v>Phase information ceilings</x:v>
      </x:c>
      <x:c r="C7" s="380" t="str">
        <x:v>Proved abstractly</x:v>
      </x:c>
      <x:c r="D7" s="380" t="str">
        <x:v>Value &lt;=2I</x:v>
      </x:c>
      <x:c r="E7" s="380" t="str">
        <x:v>Needs actual transcript information bound</x:v>
      </x:c>
      <x:c r="F7" s="380" t="str">
        <x:v>Find exact symmetry or certified KL</x:v>
      </x:c>
      <x:c r="G7" s="380" t="n">
        <x:v>2</x:v>
      </x:c>
      <x:c r="H7" s="380" t="str">
        <x:v>T44_PHASE_INFORMATION_BOUNDS.md</x:v>
      </x:c>
    </x:row>
    <x:row r="8">
      <x:c r="A8" s="382" t="str">
        <x:v>T45</x:v>
      </x:c>
      <x:c r="B8" s="380" t="str">
        <x:v>Symmetry-defect alignment bound</x:v>
      </x:c>
      <x:c r="C8" s="380" t="str">
        <x:v>Proved</x:v>
      </x:c>
      <x:c r="D8" s="380" t="str">
        <x:v>Alignment &lt;=(delta_e+delta_c)/2</x:v>
      </x:c>
      <x:c r="E8" s="380" t="str">
        <x:v>Application conditional on exact action</x:v>
      </x:c>
      <x:c r="F8" s="380" t="str">
        <x:v>Apply to one frozen observation map</x:v>
      </x:c>
      <x:c r="G8" s="380" t="n">
        <x:v>2</x:v>
      </x:c>
      <x:c r="H8" s="380" t="str">
        <x:v>T45_SYMMETRY_DEFECT_ALIGNMENT_BOUND.md</x:v>
      </x:c>
    </x:row>
    <x:row r="9">
      <x:c r="A9" s="382" t="str">
        <x:v>T46</x:v>
      </x:c>
      <x:c r="B9" s="380" t="str">
        <x:v>Gauge obstruction</x:v>
      </x:c>
      <x:c r="C9" s="380" t="str">
        <x:v>Proved for representation</x:v>
      </x:c>
      <x:c r="D9" s="380" t="str">
        <x:v>Full sign-gauge invariant output = 0</x:v>
      </x:c>
      <x:c r="E9" s="380" t="str">
        <x:v>Closes orientation-blind coefficients only</x:v>
      </x:c>
      <x:c r="F9" s="380" t="str">
        <x:v>Test one canonical odd feature</x:v>
      </x:c>
      <x:c r="G9" s="380" t="n">
        <x:v>2</x:v>
      </x:c>
      <x:c r="H9" s="380" t="str">
        <x:v>T46_GAUGE_INVARIANT_COEFFICIENT_OBSTRUCTION.md</x:v>
      </x:c>
    </x:row>
    <x:row r="10">
      <x:c r="A10" s="382" t="str">
        <x:v>M160</x:v>
      </x:c>
      <x:c r="B10" s="380" t="str">
        <x:v>Pooled checkpoint heterogeneity</x:v>
      </x:c>
      <x:c r="C10" s="380" t="str">
        <x:v>Replicated diagnostic</x:v>
      </x:c>
      <x:c r="D10" s="380" t="str">
        <x:v>Effective rank 3.80–4.29</x:v>
      </x:c>
      <x:c r="E10" s="380" t="str">
        <x:v>Not within-network rank</x:v>
      </x:c>
      <x:c r="F10" s="380" t="str">
        <x:v>Recover per-network increment Grams</x:v>
      </x:c>
      <x:c r="G10" s="380" t="n">
        <x:v>3</x:v>
      </x:c>
      <x:c r="H10" s="380" t="str">
        <x:v>CROSS_LAYER_COHERENCE_CORRECTED_INTERPRETATION.md</x:v>
      </x:c>
    </x:row>
    <x:row r="11">
      <x:c r="A11" s="382" t="str">
        <x:v>M161</x:v>
      </x:c>
      <x:c r="B11" s="380" t="str">
        <x:v>Five-source coefficient synthesis</x:v>
      </x:c>
      <x:c r="C11" s="380" t="str">
        <x:v>Closed tested class</x:v>
      </x:c>
      <x:c r="D11" s="380" t="str">
        <x:v>Dev 1.132; conf. worst 3.055</x:v>
      </x:c>
      <x:c r="E11" s="380" t="str">
        <x:v>Oracle span retained</x:v>
      </x:c>
      <x:c r="F11" s="380" t="str">
        <x:v>No more ridge/features on same sources</x:v>
      </x:c>
      <x:c r="G11" s="380" t="n">
        <x:v>4</x:v>
      </x:c>
      <x:c r="H11" s="380" t="str">
        <x:v>ORACLE_CONTINUATION_HOSTILE_AUDIT.md</x:v>
      </x:c>
    </x:row>
    <x:row r="12">
      <x:c r="A12" s="383" t="str">
        <x:v>M162</x:v>
      </x:c>
      <x:c r="B12" s="381" t="str">
        <x:v>Edge-state source ceiling</x:v>
      </x:c>
      <x:c r="C12" s="381" t="str">
        <x:v>Source stopped</x:v>
      </x:c>
      <x:c r="D12" s="381" t="str">
        <x:v>Oracle gain 1.144709x &lt; 1.15x gate</x:v>
      </x:c>
      <x:c r="E12" s="381" t="str">
        <x:v>Not a model-class failure</x:v>
      </x:c>
      <x:c r="F12" s="381" t="str">
        <x:v>Reopen only with stronger source ceiling</x:v>
      </x:c>
      <x:c r="G12" s="381" t="n">
        <x:v>4</x:v>
      </x:c>
      <x:c r="H12" s="381" t="str">
        <x:v>ORACLE_CONTINUATION_HOSTILE_AUDIT.md</x:v>
      </x:c>
    </x:row>
    <x:row r="13">
      <x:c r="A13" s="435" t="str">
        <x:v>T47</x:v>
      </x:c>
      <x:c r="B13" s="434" t="str">
        <x:v>Weighted harmonic static signed floor</x:v>
      </x:c>
      <x:c r="C13" s="434" t="str">
        <x:v>Candidate specialization</x:v>
      </x:c>
      <x:c r="D13" s="434" t="str">
        <x:v>MSE &gt;=1.2294295e-7; cap 1.979504x</x:v>
      </x:c>
      <x:c r="E13" s="434" t="str">
        <x:v>Static, network-independent, mass-one</x:v>
      </x:c>
      <x:c r="F13" s="434" t="str">
        <x:v>Independent all-degree Arb/MPFR replay</x:v>
      </x:c>
      <x:c r="G13" s="434" t="n">
        <x:v>1</x:v>
      </x:c>
      <x:c r="H13" s="434" t="str">
        <x:v>T47_WEIGHTED_HARMONIC_RANK_FLOOR.md</x:v>
      </x:c>
    </x:row>
    <x:row r="14">
      <x:c r="A14" s="416" t="str">
        <x:v>Canonical interpretation</x:v>
      </x:c>
      <x:c r="B14" s="416"/>
      <x:c r="C14" s="416"/>
      <x:c r="D14" s="416"/>
      <x:c r="E14" s="416"/>
      <x:c r="F14" s="416"/>
      <x:c r="G14" s="416"/>
      <x:c r="H14" s="416"/>
    </x:row>
    <x:row r="15">
      <x:c r="A15" s="417" t="str">
        <x:v>Static signed boundary</x:v>
      </x:c>
      <x:c r="B15" s="407" t="str">
        <x:v>T47 proves every static network-independent signed rule remains at least 50.52% of Kerdock MSE; no such rule can improve by 2x.</x:v>
      </x:c>
      <x:c r="C15" s="407"/>
      <x:c r="D15" s="407"/>
      <x:c r="E15" s="407"/>
      <x:c r="F15" s="407"/>
      <x:c r="G15" s="407"/>
      <x:c r="H15" s="407"/>
    </x:row>
    <x:row r="16">
      <x:c r="A16" s="417" t="str">
        <x:v>Oracle cascade</x:v>
      </x:c>
      <x:c r="B16" s="407" t="str">
        <x:v>Pooled increments are heterogeneous; within-network component rank remains open.</x:v>
      </x:c>
      <x:c r="C16" s="407"/>
      <x:c r="D16" s="407"/>
      <x:c r="E16" s="407"/>
      <x:c r="F16" s="407"/>
      <x:c r="G16" s="407"/>
      <x:c r="H16" s="407"/>
    </x:row>
    <x:row r="17">
      <x:c r="A17" s="417" t="str">
        <x:v>Phase barrier</x:v>
      </x:c>
      <x:c r="B17" s="407" t="str">
        <x:v>Exact only for specified invariant/gauge-quotient representations. Full weights defeat unconditional information impossibility.</x:v>
      </x:c>
      <x:c r="C17" s="407"/>
      <x:c r="D17" s="407"/>
      <x:c r="E17" s="407"/>
      <x:c r="F17" s="407"/>
      <x:c r="G17" s="407"/>
      <x:c r="H17" s="407"/>
    </x:row>
    <x:row r="18">
      <x:c r="A18" s="417" t="str">
        <x:v>Empirical portfolio</x:v>
      </x:c>
      <x:c r="B18" s="407" t="str">
        <x:v>No active tested branch passes signal, tails and complete-cost gates. This is a resource decision, not a universal theorem.</x:v>
      </x:c>
      <x:c r="C18" s="407"/>
      <x:c r="D18" s="407"/>
      <x:c r="E18" s="407"/>
      <x:c r="F18" s="407"/>
      <x:c r="G18" s="407"/>
      <x:c r="H18" s="407"/>
    </x:row>
    <x:row r="19">
      <x:c r="A19" s="10"/>
      <x:c r="B19" s="10"/>
      <x:c r="C19" s="10"/>
      <x:c r="D19" s="10"/>
      <x:c r="E19" s="10"/>
      <x:c r="F19" s="10"/>
      <x:c r="G19" s="10"/>
      <x:c r="H19" s="10"/>
    </x:row>
    <x:row r="20">
      <x:c r="A20" s="418" t="str">
        <x:v>Next sequence</x:v>
      </x:c>
      <x:c r="B20" s="418"/>
      <x:c r="C20" s="418"/>
      <x:c r="D20" s="418"/>
      <x:c r="E20" s="418"/>
      <x:c r="F20" s="418"/>
      <x:c r="G20" s="418"/>
      <x:c r="H20" s="418"/>
    </x:row>
    <x:row r="21">
      <x:c r="A21" s="419" t="str">
        <x:v>Priority</x:v>
      </x:c>
      <x:c r="B21" s="419" t="str">
        <x:v>Action</x:v>
      </x:c>
      <x:c r="C21" s="419" t="str">
        <x:v>Track</x:v>
      </x:c>
      <x:c r="D21" s="419" t="str">
        <x:v>Gate</x:v>
      </x:c>
      <x:c r="E21" s="10"/>
      <x:c r="F21" s="10"/>
      <x:c r="G21" s="10"/>
      <x:c r="H21" s="10"/>
    </x:row>
    <x:row r="22">
      <x:c r="A22" s="380" t="n">
        <x:v>1</x:v>
      </x:c>
      <x:c r="B22" s="380" t="str">
        <x:v>Independent T42/T47 interval stack</x:v>
      </x:c>
      <x:c r="C22" s="380" t="str">
        <x:v>Publication-critical</x:v>
      </x:c>
      <x:c r="D22" s="380" t="str">
        <x:v>All active ratios and final constants agree.</x:v>
      </x:c>
      <x:c r="E22" s="10"/>
      <x:c r="F22" s="10"/>
      <x:c r="G22" s="10"/>
      <x:c r="H22" s="10"/>
    </x:row>
    <x:row r="23">
      <x:c r="A23" s="380" t="n">
        <x:v>2</x:v>
      </x:c>
      <x:c r="B23" s="380" t="str">
        <x:v>Named human review of T47 normalization/rank proof</x:v>
      </x:c>
      <x:c r="C23" s="380" t="str">
        <x:v>Publication-critical</x:v>
      </x:c>
      <x:c r="D23" s="380" t="str">
        <x:v>Reviewer signs exact scope.</x:v>
      </x:c>
      <x:c r="E23" s="10"/>
      <x:c r="F23" s="10"/>
      <x:c r="G23" s="10"/>
      <x:c r="H23" s="10"/>
    </x:row>
    <x:row r="24">
      <x:c r="A24" s="380" t="n">
        <x:v>3</x:v>
      </x:c>
      <x:c r="B24" s="380" t="str">
        <x:v>Per-network checkpoint increment rank</x:v>
      </x:c>
      <x:c r="C24" s="380" t="str">
        <x:v>Mechanism</x:v>
      </x:c>
      <x:c r="D24" s="380" t="str">
        <x:v>Grouped rank distribution, not pooled inference.</x:v>
      </x:c>
      <x:c r="E24" s="10"/>
      <x:c r="F24" s="10"/>
      <x:c r="G24" s="10"/>
      <x:c r="H24" s="10"/>
    </x:row>
    <x:row r="25">
      <x:c r="A25" s="380" t="n">
        <x:v>4</x:v>
      </x:c>
      <x:c r="B25" s="380" t="str">
        <x:v>Frozen orientation-odd phase observable</x:v>
      </x:c>
      <x:c r="C25" s="380" t="str">
        <x:v>Bounded empirical</x:v>
      </x:c>
      <x:c r="D25" s="380" t="str">
        <x:v>&gt;=1.10x raw, lower CI &gt;1.05x, worst &lt;=1.25, constant beaten.</x:v>
      </x:c>
      <x:c r="E25" s="10"/>
      <x:c r="F25" s="10"/>
      <x:c r="G25" s="10"/>
      <x:c r="H25" s="10"/>
    </x:row>
    <x:row r="26">
      <x:c r="A26" s="414" t="n">
        <x:v>5</x:v>
      </x:c>
      <x:c r="B26" s="414" t="str">
        <x:v>Finite-width coefficient floor schema</x:v>
      </x:c>
      <x:c r="C26" s="414" t="str">
        <x:v>Optional theorem</x:v>
      </x:c>
      <x:c r="D26" s="414" t="str">
        <x:v>Rigorous lower intervals for degrees 1–6.</x:v>
      </x:c>
      <x:c r="E26" s="10"/>
      <x:c r="F26" s="10"/>
      <x:c r="G26" s="10"/>
      <x:c r="H26" s="10"/>
    </x:row>
  </x:sheetData>
  <x:mergeCells>
    <x:mergeCell ref="A1:H1"/>
    <x:mergeCell ref="A2:H2"/>
    <x:mergeCell ref="A14:H14"/>
    <x:mergeCell ref="B15:H15"/>
    <x:mergeCell ref="B16:H16"/>
    <x:mergeCell ref="B17:H17"/>
    <x:mergeCell ref="B18:H18"/>
    <x:mergeCell ref="A20:H20"/>
  </x:mergeCells>
  <x:conditionalFormatting sqref="G5:G12">
    <x:cfRule type="colorScale" priority="1">
      <x:colorScale>
        <x:cfvo type="min"/>
        <x:cfvo type="percentile" val="50"/>
        <x:cfvo type="max"/>
        <x:color rgb="FFDCFCE7"/>
        <x:color rgb="FFFEF3C7"/>
        <x:color rgb="FFFECACA"/>
      </x:colorScale>
    </x:cfRule>
  </x:conditionalFormatting>
  <x:conditionalFormatting sqref="G13:G13">
    <x:cfRule type="colorScale" priority="2">
      <x:colorScale>
        <x:cfvo type="min"/>
        <x:cfvo type="percentile" val="50"/>
        <x:cfvo type="max"/>
        <x:color rgb="FFDCFCE7"/>
        <x:color rgb="FFFEF3C7"/>
        <x:color rgb="FFFECACA"/>
      </x:colorScale>
    </x:cfRule>
  </x:conditionalFormatting>
  <x:pageMargins left="0.7" right="0.7" top="0.75" bottom="0.75" header="0.3" footer="0.3"/>
</x:worksheet>
</file>